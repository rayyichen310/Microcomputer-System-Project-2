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11" windowHeight="12768" activeTab="1"/>
  </bookViews>
  <sheets>
    <sheet name="Project-1" sheetId="1" r:id="rId1"/>
    <sheet name="Projrct-2" sheetId="2" r:id="rId2"/>
  </sheets>
  <definedNames>
    <definedName name="_xlnm.Print_Area" localSheetId="0">'Project-1'!$C$5:$AJ$40</definedName>
  </definedNames>
  <calcPr calcId="144525"/>
</workbook>
</file>

<file path=xl/sharedStrings.xml><?xml version="1.0" encoding="utf-8"?>
<sst xmlns="http://schemas.openxmlformats.org/spreadsheetml/2006/main" count="401" uniqueCount="161">
  <si>
    <t>2023-04-07(5)</t>
  </si>
  <si>
    <t>P1  Port</t>
  </si>
  <si>
    <t>7-Segment LCD Active Digit Content</t>
  </si>
  <si>
    <t>7-Segment LCD Digit Selection</t>
  </si>
  <si>
    <t>Y7</t>
  </si>
  <si>
    <t>F</t>
  </si>
  <si>
    <t>P2  Port</t>
  </si>
  <si>
    <t>Y6</t>
  </si>
  <si>
    <t>E</t>
  </si>
  <si>
    <t>P2.7</t>
  </si>
  <si>
    <t>P2.6</t>
  </si>
  <si>
    <t>P2.5</t>
  </si>
  <si>
    <t>P2.4</t>
  </si>
  <si>
    <t>P2.3</t>
  </si>
  <si>
    <t>P2.2</t>
  </si>
  <si>
    <t>P2.1</t>
  </si>
  <si>
    <t>P2.0</t>
  </si>
  <si>
    <t>Y5</t>
  </si>
  <si>
    <t>D</t>
  </si>
  <si>
    <t>dp</t>
  </si>
  <si>
    <t>g</t>
  </si>
  <si>
    <t>f</t>
  </si>
  <si>
    <t>e</t>
  </si>
  <si>
    <t>d</t>
  </si>
  <si>
    <t>c</t>
  </si>
  <si>
    <t>b</t>
  </si>
  <si>
    <t>a</t>
  </si>
  <si>
    <t>Content</t>
  </si>
  <si>
    <t>Digit</t>
  </si>
  <si>
    <t>Y4</t>
  </si>
  <si>
    <t>C</t>
  </si>
  <si>
    <t>H</t>
  </si>
  <si>
    <t>Y3</t>
  </si>
  <si>
    <t>B</t>
  </si>
  <si>
    <t>Y2</t>
  </si>
  <si>
    <t>A</t>
  </si>
  <si>
    <t>Y1</t>
  </si>
  <si>
    <t>Y0</t>
  </si>
  <si>
    <t>Selection of 7-Segment LCD Digit</t>
  </si>
  <si>
    <t>P1 Port</t>
  </si>
  <si>
    <t>P1.2</t>
  </si>
  <si>
    <t>P1.1</t>
  </si>
  <si>
    <t>P1.0</t>
  </si>
  <si>
    <t>P1.7</t>
  </si>
  <si>
    <t>P1.6</t>
  </si>
  <si>
    <t>P1.5</t>
  </si>
  <si>
    <t>P1.4</t>
  </si>
  <si>
    <t>P1.3</t>
  </si>
  <si>
    <t>Requested7-Segment LCD Digit showing sequence</t>
  </si>
  <si>
    <t>A machine cycle consists of a sequence of 6 states, numbered S1 through S6.  Each state time lasts for two oscillator periods.  Thus a machine cycle takes 12 oscillator periods or 0.000001 second ( (1/12,000,000)x12= 0.000001 second). if the oscillator frequency is 12 MHz.(Please refer to User's Manual Page 1-18)</t>
  </si>
  <si>
    <t>Request showing sequence</t>
  </si>
  <si>
    <t>&lt;==</t>
  </si>
  <si>
    <t xml:space="preserve"> ==&gt;</t>
  </si>
  <si>
    <t>if Oscillator frequency is 12 MHz  ==&gt;  1 oscillator period(clock) = 1/12,000,000 Second</t>
  </si>
  <si>
    <t>1/12,000,000 = 0.00000008333</t>
  </si>
  <si>
    <t>ID</t>
  </si>
  <si>
    <t>one machine cycle ==&gt; 6 states</t>
  </si>
  <si>
    <t>1 state ==&gt; 2 oscillator periods(2 clocks)</t>
  </si>
  <si>
    <t>Actually showing sequence</t>
  </si>
  <si>
    <t>one machine cycle ==&gt; 6 states ==&gt; 12 oscillator periods(12 clocks)</t>
  </si>
  <si>
    <t>12 oscillator periods(12 clocks) =  (1/12,000,000) x 12 = 0.000001 second</t>
  </si>
  <si>
    <t>Therefore, one machine cycle ==&gt; 0.000001 second</t>
  </si>
  <si>
    <t>DELAY:</t>
  </si>
  <si>
    <t>MOV</t>
  </si>
  <si>
    <t>R6,</t>
  </si>
  <si>
    <t>#200</t>
  </si>
  <si>
    <t>DEL:</t>
  </si>
  <si>
    <t>R7,</t>
  </si>
  <si>
    <t>#248</t>
  </si>
  <si>
    <t>DJNZ</t>
  </si>
  <si>
    <t>$</t>
  </si>
  <si>
    <t>x</t>
  </si>
  <si>
    <t xml:space="preserve"> =</t>
  </si>
  <si>
    <t>DEL</t>
  </si>
  <si>
    <t>+</t>
  </si>
  <si>
    <t>R5,</t>
  </si>
  <si>
    <t>DELAY</t>
  </si>
  <si>
    <t>RET</t>
  </si>
  <si>
    <t>11.0592 MHz / 12 = 921.6 kHz.</t>
  </si>
  <si>
    <t>MHz</t>
  </si>
  <si>
    <t>8051頻率</t>
  </si>
  <si>
    <t>Hz</t>
  </si>
  <si>
    <t>1 machine cycle=12 clock</t>
  </si>
  <si>
    <t>Frequency</t>
  </si>
  <si>
    <t>KHz</t>
  </si>
  <si>
    <t>~T</t>
  </si>
  <si>
    <t>秒</t>
  </si>
  <si>
    <t>1 machine cycle時間</t>
  </si>
  <si>
    <t>微秒</t>
  </si>
  <si>
    <t>X 10負6次方</t>
  </si>
  <si>
    <t>In mode 1, 由TH0/TH1 or TL0/TL1 的 Count值 求出Delay的時間 或 產生方波的週期/頻率</t>
  </si>
  <si>
    <t>TH0</t>
  </si>
  <si>
    <t>TL0</t>
  </si>
  <si>
    <t>Hex</t>
  </si>
  <si>
    <t>Dec</t>
  </si>
  <si>
    <t>i</t>
  </si>
  <si>
    <t xml:space="preserve"> +</t>
  </si>
  <si>
    <t>Note 頻率</t>
  </si>
  <si>
    <t>number of count N =</t>
  </si>
  <si>
    <t>產生Delay的時間</t>
  </si>
  <si>
    <t>FDB5</t>
  </si>
  <si>
    <t>FD92</t>
  </si>
  <si>
    <t>FC5B</t>
  </si>
  <si>
    <t>FD45</t>
  </si>
  <si>
    <t>FCF0</t>
  </si>
  <si>
    <t>FB69</t>
  </si>
  <si>
    <t>10負6次方</t>
  </si>
  <si>
    <t>Tempo 60每拍</t>
  </si>
  <si>
    <t>豪秒</t>
  </si>
  <si>
    <t>10負3次方</t>
  </si>
  <si>
    <t>Tempo 70每拍</t>
  </si>
  <si>
    <t>基本時間長度的倍數值 R2=</t>
  </si>
  <si>
    <t>multiple delay count P =</t>
  </si>
  <si>
    <t>Index R1值=</t>
  </si>
  <si>
    <t>產生Delay的時間with multiple delay count</t>
  </si>
  <si>
    <t>x2=</t>
  </si>
  <si>
    <t>T(週期)</t>
  </si>
  <si>
    <t>產生方波的週期</t>
  </si>
  <si>
    <t>FBE9</t>
  </si>
  <si>
    <t>FC5A</t>
  </si>
  <si>
    <t>FC90</t>
  </si>
  <si>
    <t>0000H</t>
  </si>
  <si>
    <t>FA8A</t>
  </si>
  <si>
    <t>FB23</t>
  </si>
  <si>
    <t>1/T</t>
  </si>
  <si>
    <t>X 10 6次方</t>
  </si>
  <si>
    <t>產生方波的頻率</t>
  </si>
  <si>
    <t>X 10 3次方</t>
  </si>
  <si>
    <t>In mode 1, 由需要Delay的時間 求出 TH0/TH1 or TL0/TL1 的 Count值</t>
  </si>
  <si>
    <r>
      <rPr>
        <sz val="11"/>
        <color theme="1"/>
        <rFont val="Calibri"/>
        <charset val="134"/>
        <scheme val="minor"/>
      </rPr>
      <t xml:space="preserve">the desired time delay </t>
    </r>
    <r>
      <rPr>
        <sz val="11"/>
        <color rgb="FFFF0000"/>
        <rFont val="Calibri"/>
        <charset val="134"/>
        <scheme val="minor"/>
      </rPr>
      <t>Tdes</t>
    </r>
  </si>
  <si>
    <t>ms</t>
  </si>
  <si>
    <r>
      <rPr>
        <sz val="11"/>
        <color theme="1"/>
        <rFont val="Calibri"/>
        <charset val="134"/>
        <scheme val="minor"/>
      </rPr>
      <t xml:space="preserve">each count takes </t>
    </r>
    <r>
      <rPr>
        <sz val="11"/>
        <color rgb="FFFF0000"/>
        <rFont val="Calibri"/>
        <charset val="134"/>
        <scheme val="minor"/>
      </rPr>
      <t>1.085s</t>
    </r>
  </si>
  <si>
    <t>N = Tdes / 1.085s</t>
  </si>
  <si>
    <t>X 10 3次方 =&gt;</t>
  </si>
  <si>
    <t>Rounds down to the nearest integer</t>
  </si>
  <si>
    <t>3 ^</t>
  </si>
  <si>
    <r>
      <t>The</t>
    </r>
    <r>
      <rPr>
        <sz val="11"/>
        <color rgb="FFFF0000"/>
        <rFont val="Calibri"/>
        <charset val="134"/>
        <scheme val="minor"/>
      </rPr>
      <t xml:space="preserve"> initial value of Timer</t>
    </r>
    <r>
      <rPr>
        <sz val="11"/>
        <color theme="1"/>
        <rFont val="Calibri"/>
        <charset val="134"/>
        <scheme val="minor"/>
      </rPr>
      <t xml:space="preserve"> is M = 65,535 - N + 1</t>
    </r>
  </si>
  <si>
    <t>FE2D</t>
  </si>
  <si>
    <t>餘數</t>
  </si>
  <si>
    <t>商數</t>
  </si>
  <si>
    <t>#2</t>
  </si>
  <si>
    <t>#4</t>
  </si>
  <si>
    <t>FC24</t>
  </si>
  <si>
    <t>FCC1</t>
  </si>
  <si>
    <t xml:space="preserve">In mode 1, 由TH1 ,TL1 的最小Count值(N=0), 求出可產生最大的Delay時間 </t>
  </si>
  <si>
    <t>(N=0)</t>
  </si>
  <si>
    <t xml:space="preserve">最小Count值(N=0), 可產生最大的Delay時間 (節拍的基本時間長度) </t>
  </si>
  <si>
    <t>毫秒</t>
  </si>
  <si>
    <t>1拍的基本時間長度倍數值  (R2值)</t>
  </si>
  <si>
    <t>1拍的時間</t>
  </si>
  <si>
    <t>Tempo 60</t>
  </si>
  <si>
    <t>Tempo 70</t>
  </si>
  <si>
    <t>In mode 1, 由需要方波的週期/頻率 求出 TH0/TH1 or TL0/TL1 的 Count值</t>
  </si>
  <si>
    <t>square wave of  ???  frequency</t>
  </si>
  <si>
    <t>period T = 1/f</t>
  </si>
  <si>
    <t>X 10負3次方</t>
  </si>
  <si>
    <t>One half of T for the high and Low</t>
  </si>
  <si>
    <t>number of counts N =</t>
  </si>
  <si>
    <t>initial, value of Timer 0 =65535 - N + 1</t>
  </si>
  <si>
    <t>In mode 2, 由TH0/TH1 or TL0/TL1 的 Count值 求出Delay的時間 或 產生方波的週期/頻率</t>
  </si>
  <si>
    <t>multiple delay count I =</t>
  </si>
</sst>
</file>

<file path=xl/styles.xml><?xml version="1.0" encoding="utf-8"?>
<styleSheet xmlns="http://schemas.openxmlformats.org/spreadsheetml/2006/main">
  <numFmts count="19">
    <numFmt numFmtId="176" formatCode="#,##0_ ;[Red]\-#,##0\ "/>
    <numFmt numFmtId="43" formatCode="_-* #,##0.00_-;\-* #,##0.00_-;_-* &quot;-&quot;??_-;_-@_-"/>
    <numFmt numFmtId="177" formatCode="_-&quot;NT$&quot;* #,##0.00_-;\-&quot;NT$&quot;* #,##0.00_-;_-&quot;NT$&quot;* &quot;-&quot;??_-;_-@_-"/>
    <numFmt numFmtId="178" formatCode="_-&quot;NT$&quot;* #,##0_-;\-&quot;NT$&quot;* #,##0_-;_-&quot;NT$&quot;* &quot;-&quot;_-;_-@_-"/>
    <numFmt numFmtId="41" formatCode="_-* #,##0_-;\-* #,##0_-;_-* &quot;-&quot;_-;_-@_-"/>
    <numFmt numFmtId="179" formatCode="#,##0.000_ ;[Red]\-#,##0.000\ "/>
    <numFmt numFmtId="180" formatCode="#,##0.00_ ;[Red]\-#,##0.00\ "/>
    <numFmt numFmtId="181" formatCode="#,##0.0000_ ;[Red]\-#,##0.0000\ "/>
    <numFmt numFmtId="182" formatCode="#,##0.0_ ;[Red]\-#,##0.0\ "/>
    <numFmt numFmtId="183" formatCode="#,##0.00000000000_ ;[Red]\-#,##0.00000000000\ "/>
    <numFmt numFmtId="184" formatCode="0.0000_ "/>
    <numFmt numFmtId="185" formatCode="0.0000000_ "/>
    <numFmt numFmtId="186" formatCode="0.00000_ "/>
    <numFmt numFmtId="187" formatCode="0.00_ "/>
    <numFmt numFmtId="188" formatCode="0.00000000_ "/>
    <numFmt numFmtId="189" formatCode="0.0_ "/>
    <numFmt numFmtId="190" formatCode="0_ "/>
    <numFmt numFmtId="191" formatCode="0.000_ "/>
    <numFmt numFmtId="192" formatCode="0.000000_ "/>
  </numFmts>
  <fonts count="35">
    <font>
      <sz val="11"/>
      <color theme="1"/>
      <name val="Calibri"/>
      <charset val="134"/>
      <scheme val="minor"/>
    </font>
    <font>
      <sz val="32.05"/>
      <color rgb="FF000000"/>
      <name val="Times New Roman"/>
      <charset val="134"/>
    </font>
    <font>
      <sz val="14"/>
      <color theme="1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theme="1"/>
      </left>
      <right/>
      <top style="thick">
        <color auto="1"/>
      </top>
      <bottom style="medium">
        <color theme="1"/>
      </bottom>
      <diagonal/>
    </border>
    <border>
      <left/>
      <right style="thick">
        <color auto="1"/>
      </right>
      <top style="thick">
        <color auto="1"/>
      </top>
      <bottom style="medium">
        <color theme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auto="1"/>
      </right>
      <top style="medium">
        <color theme="1"/>
      </top>
      <bottom style="medium">
        <color theme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theme="1"/>
      </left>
      <right/>
      <top style="medium">
        <color theme="1"/>
      </top>
      <bottom style="thick">
        <color auto="1"/>
      </bottom>
      <diagonal/>
    </border>
    <border>
      <left/>
      <right style="thick">
        <color auto="1"/>
      </right>
      <top style="medium">
        <color theme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theme="1"/>
      </left>
      <right/>
      <top style="thick">
        <color theme="1"/>
      </top>
      <bottom style="medium">
        <color theme="1"/>
      </bottom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theme="1"/>
      </top>
      <bottom style="thick">
        <color theme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10" borderId="100" applyNumberFormat="0" applyAlignment="0" applyProtection="0">
      <alignment vertical="center"/>
    </xf>
    <xf numFmtId="0" fontId="27" fillId="0" borderId="97" applyNumberFormat="0" applyFill="0" applyAlignment="0" applyProtection="0">
      <alignment vertical="center"/>
    </xf>
    <xf numFmtId="0" fontId="0" fillId="4" borderId="96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0" borderId="97" applyNumberFormat="0" applyFill="0" applyAlignment="0" applyProtection="0">
      <alignment vertical="center"/>
    </xf>
    <xf numFmtId="0" fontId="22" fillId="0" borderId="9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7" borderId="99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6" fillId="3" borderId="95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0" fillId="3" borderId="99" applyNumberFormat="0" applyAlignment="0" applyProtection="0">
      <alignment vertical="center"/>
    </xf>
    <xf numFmtId="0" fontId="32" fillId="0" borderId="101" applyNumberFormat="0" applyFill="0" applyAlignment="0" applyProtection="0">
      <alignment vertical="center"/>
    </xf>
    <xf numFmtId="0" fontId="33" fillId="0" borderId="102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right" vertical="center"/>
    </xf>
    <xf numFmtId="176" fontId="0" fillId="0" borderId="3" xfId="0" applyNumberFormat="1" applyBorder="1">
      <alignment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>
      <alignment vertical="center"/>
    </xf>
    <xf numFmtId="0" fontId="0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vertical="center"/>
    </xf>
    <xf numFmtId="0" fontId="0" fillId="0" borderId="3" xfId="0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3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182" fontId="0" fillId="0" borderId="0" xfId="0" applyNumberFormat="1" applyAlignment="1">
      <alignment horizontal="right" vertical="center"/>
    </xf>
    <xf numFmtId="0" fontId="0" fillId="0" borderId="4" xfId="0" applyBorder="1" applyAlignment="1">
      <alignment horizontal="right" vertical="center"/>
    </xf>
    <xf numFmtId="183" fontId="3" fillId="0" borderId="4" xfId="0" applyNumberFormat="1" applyFont="1" applyBorder="1" applyAlignment="1">
      <alignment horizontal="right" vertical="center"/>
    </xf>
    <xf numFmtId="176" fontId="0" fillId="0" borderId="4" xfId="0" applyNumberFormat="1" applyBorder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83" fontId="3" fillId="0" borderId="0" xfId="0" applyNumberFormat="1" applyFont="1" applyBorder="1">
      <alignment vertical="center"/>
    </xf>
    <xf numFmtId="0" fontId="0" fillId="0" borderId="0" xfId="0" applyBorder="1" applyAlignment="1">
      <alignment horizontal="right"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>
      <alignment vertical="center"/>
    </xf>
    <xf numFmtId="181" fontId="4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84" fontId="4" fillId="0" borderId="0" xfId="0" applyNumberFormat="1" applyFont="1" applyAlignment="1">
      <alignment horizontal="right" vertical="center"/>
    </xf>
    <xf numFmtId="186" fontId="0" fillId="0" borderId="0" xfId="0" applyNumberFormat="1" applyAlignment="1">
      <alignment horizontal="right" vertical="center"/>
    </xf>
    <xf numFmtId="187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88" fontId="0" fillId="0" borderId="14" xfId="0" applyNumberFormat="1" applyBorder="1" applyAlignment="1">
      <alignment vertical="center"/>
    </xf>
    <xf numFmtId="189" fontId="0" fillId="0" borderId="5" xfId="0" applyNumberFormat="1" applyBorder="1" applyAlignment="1">
      <alignment horizontal="center" vertical="center"/>
    </xf>
    <xf numFmtId="189" fontId="0" fillId="0" borderId="1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Font="1" applyBorder="1" applyAlignment="1">
      <alignment horizontal="right" vertical="center"/>
    </xf>
    <xf numFmtId="0" fontId="0" fillId="0" borderId="20" xfId="0" applyFont="1" applyBorder="1" applyAlignment="1">
      <alignment horizontal="right" vertical="center"/>
    </xf>
    <xf numFmtId="0" fontId="0" fillId="0" borderId="2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88" fontId="0" fillId="0" borderId="5" xfId="0" applyNumberFormat="1" applyBorder="1" applyAlignment="1">
      <alignment horizontal="right" vertical="center"/>
    </xf>
    <xf numFmtId="190" fontId="0" fillId="0" borderId="15" xfId="0" applyNumberForma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8" xfId="0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9" fontId="8" fillId="0" borderId="15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89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0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76" fontId="0" fillId="0" borderId="0" xfId="0" applyNumberFormat="1" applyAlignment="1">
      <alignment horizontal="right" vertical="center" wrapText="1"/>
    </xf>
    <xf numFmtId="176" fontId="0" fillId="0" borderId="0" xfId="0" applyNumberFormat="1" applyAlignment="1">
      <alignment vertical="center" wrapText="1"/>
    </xf>
    <xf numFmtId="0" fontId="0" fillId="0" borderId="26" xfId="0" applyBorder="1">
      <alignment vertical="center"/>
    </xf>
    <xf numFmtId="0" fontId="0" fillId="0" borderId="27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5" xfId="0" applyNumberFormat="1" applyFont="1" applyBorder="1" applyAlignment="1">
      <alignment horizontal="right" vertical="center"/>
    </xf>
    <xf numFmtId="179" fontId="0" fillId="0" borderId="15" xfId="0" applyNumberFormat="1" applyBorder="1" applyAlignment="1">
      <alignment horizontal="center" vertical="center"/>
    </xf>
    <xf numFmtId="180" fontId="0" fillId="0" borderId="15" xfId="0" applyNumberForma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6" fontId="4" fillId="0" borderId="3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91" fontId="0" fillId="0" borderId="0" xfId="0" applyNumberFormat="1" applyAlignment="1">
      <alignment horizontal="right" vertical="center"/>
    </xf>
    <xf numFmtId="18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6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0" fontId="0" fillId="0" borderId="34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27" xfId="0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189" fontId="0" fillId="0" borderId="15" xfId="0" applyNumberFormat="1" applyBorder="1">
      <alignment vertical="center"/>
    </xf>
    <xf numFmtId="0" fontId="0" fillId="0" borderId="1" xfId="0" applyBorder="1">
      <alignment vertical="center"/>
    </xf>
    <xf numFmtId="190" fontId="0" fillId="0" borderId="37" xfId="0" applyNumberFormat="1" applyBorder="1" applyAlignment="1">
      <alignment horizontal="center" vertical="center"/>
    </xf>
    <xf numFmtId="190" fontId="0" fillId="0" borderId="14" xfId="0" applyNumberFormat="1" applyBorder="1" applyAlignment="1">
      <alignment horizontal="center" vertical="center"/>
    </xf>
    <xf numFmtId="0" fontId="0" fillId="0" borderId="38" xfId="0" applyBorder="1">
      <alignment vertical="center"/>
    </xf>
    <xf numFmtId="185" fontId="0" fillId="0" borderId="38" xfId="0" applyNumberFormat="1" applyBorder="1">
      <alignment vertical="center"/>
    </xf>
    <xf numFmtId="0" fontId="0" fillId="0" borderId="39" xfId="0" applyBorder="1">
      <alignment vertical="center"/>
    </xf>
    <xf numFmtId="190" fontId="9" fillId="0" borderId="40" xfId="0" applyNumberFormat="1" applyFont="1" applyBorder="1" applyAlignment="1">
      <alignment horizontal="center" vertical="center"/>
    </xf>
    <xf numFmtId="190" fontId="9" fillId="0" borderId="41" xfId="0" applyNumberFormat="1" applyFont="1" applyBorder="1" applyAlignment="1">
      <alignment horizontal="center" vertical="center"/>
    </xf>
    <xf numFmtId="190" fontId="0" fillId="0" borderId="0" xfId="0" applyNumberFormat="1" applyAlignment="1">
      <alignment horizontal="right" vertical="center"/>
    </xf>
    <xf numFmtId="0" fontId="0" fillId="0" borderId="5" xfId="0" applyBorder="1">
      <alignment vertical="center"/>
    </xf>
    <xf numFmtId="0" fontId="4" fillId="0" borderId="15" xfId="0" applyFont="1" applyBorder="1" applyAlignment="1">
      <alignment horizontal="center" vertical="center"/>
    </xf>
    <xf numFmtId="189" fontId="0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0" fillId="0" borderId="37" xfId="0" applyBorder="1">
      <alignment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192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2" xfId="0" applyBorder="1">
      <alignment vertical="center"/>
    </xf>
    <xf numFmtId="0" fontId="2" fillId="0" borderId="0" xfId="0" applyFont="1" applyAlignment="1">
      <alignment horizontal="right" vertical="center"/>
    </xf>
    <xf numFmtId="0" fontId="0" fillId="0" borderId="93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93" xfId="0" applyBorder="1">
      <alignment vertical="center"/>
    </xf>
    <xf numFmtId="0" fontId="2" fillId="0" borderId="94" xfId="0" applyFont="1" applyBorder="1" applyAlignment="1">
      <alignment horizontal="center" vertical="center"/>
    </xf>
    <xf numFmtId="0" fontId="0" fillId="0" borderId="94" xfId="0" applyBorder="1">
      <alignment vertical="center"/>
    </xf>
    <xf numFmtId="192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M52"/>
  <sheetViews>
    <sheetView topLeftCell="D16" workbookViewId="0">
      <selection activeCell="AN26" sqref="AN26"/>
    </sheetView>
  </sheetViews>
  <sheetFormatPr defaultColWidth="8.88888888888889" defaultRowHeight="14.4"/>
  <cols>
    <col min="3" max="3" width="11.2222222222222" customWidth="1"/>
    <col min="4" max="4" width="3.44444444444444" style="5" customWidth="1"/>
    <col min="5" max="7" width="5.55555555555556" style="5" customWidth="1"/>
    <col min="8" max="8" width="1.77777777777778" style="5" customWidth="1"/>
    <col min="9" max="13" width="5.55555555555556" style="5" customWidth="1"/>
    <col min="14" max="16" width="5.33333333333333" style="5" customWidth="1"/>
    <col min="17" max="17" width="1.66666666666667" style="5" customWidth="1"/>
    <col min="18" max="18" width="3.88888888888889" style="5" customWidth="1"/>
    <col min="19" max="19" width="3.66666666666667" style="5" customWidth="1"/>
    <col min="21" max="28" width="5.22222222222222" customWidth="1"/>
    <col min="29" max="29" width="2.33333333333333" customWidth="1"/>
    <col min="30" max="30" width="3.22222222222222" style="5" customWidth="1"/>
    <col min="31" max="31" width="3" style="5" customWidth="1"/>
    <col min="32" max="32" width="2.88888888888889" style="5" customWidth="1"/>
    <col min="33" max="33" width="5.33333333333333" customWidth="1"/>
    <col min="34" max="34" width="6.66666666666667" customWidth="1"/>
    <col min="35" max="35" width="9.11111111111111" customWidth="1"/>
    <col min="36" max="36" width="2.77777777777778" customWidth="1"/>
    <col min="37" max="37" width="9.66666666666667"/>
  </cols>
  <sheetData>
    <row r="3" ht="15.6" spans="3:3">
      <c r="C3" s="151" t="s">
        <v>0</v>
      </c>
    </row>
    <row r="6" ht="16.35" spans="6:29">
      <c r="F6" s="152" t="s">
        <v>1</v>
      </c>
      <c r="G6" s="152"/>
      <c r="U6" s="210" t="s">
        <v>2</v>
      </c>
      <c r="V6" s="211"/>
      <c r="W6" s="211"/>
      <c r="X6" s="211"/>
      <c r="Y6" s="211"/>
      <c r="Z6" s="211"/>
      <c r="AA6" s="211"/>
      <c r="AB6" s="234"/>
      <c r="AC6" s="5"/>
    </row>
    <row r="7" ht="17.1" spans="3:29">
      <c r="C7" s="153" t="s">
        <v>3</v>
      </c>
      <c r="D7" s="154">
        <v>0</v>
      </c>
      <c r="E7" s="154" t="s">
        <v>4</v>
      </c>
      <c r="F7" s="155" t="s">
        <v>5</v>
      </c>
      <c r="G7" s="156" t="s">
        <v>5</v>
      </c>
      <c r="U7" s="87" t="s">
        <v>6</v>
      </c>
      <c r="V7" s="87"/>
      <c r="W7" s="87"/>
      <c r="X7" s="87"/>
      <c r="Y7" s="87"/>
      <c r="Z7" s="87"/>
      <c r="AA7" s="87"/>
      <c r="AB7" s="87"/>
      <c r="AC7" s="5"/>
    </row>
    <row r="8" ht="16.35" spans="3:32">
      <c r="C8" s="157"/>
      <c r="D8" s="158">
        <v>1</v>
      </c>
      <c r="E8" s="158" t="s">
        <v>7</v>
      </c>
      <c r="F8" s="159" t="s">
        <v>5</v>
      </c>
      <c r="G8" s="160" t="s">
        <v>8</v>
      </c>
      <c r="U8" s="87" t="s">
        <v>9</v>
      </c>
      <c r="V8" s="87" t="s">
        <v>10</v>
      </c>
      <c r="W8" s="87" t="s">
        <v>11</v>
      </c>
      <c r="X8" s="87" t="s">
        <v>12</v>
      </c>
      <c r="Y8" s="87" t="s">
        <v>13</v>
      </c>
      <c r="Z8" s="87" t="s">
        <v>14</v>
      </c>
      <c r="AA8" s="87" t="s">
        <v>15</v>
      </c>
      <c r="AB8" s="87" t="s">
        <v>16</v>
      </c>
      <c r="AC8" s="5"/>
      <c r="AD8" s="197" t="s">
        <v>6</v>
      </c>
      <c r="AE8" s="198"/>
      <c r="AF8" s="199"/>
    </row>
    <row r="9" ht="16.35" spans="3:33">
      <c r="C9" s="157"/>
      <c r="D9" s="158">
        <v>2</v>
      </c>
      <c r="E9" s="158" t="s">
        <v>17</v>
      </c>
      <c r="F9" s="159" t="s">
        <v>5</v>
      </c>
      <c r="G9" s="160" t="s">
        <v>18</v>
      </c>
      <c r="U9" s="87" t="s">
        <v>19</v>
      </c>
      <c r="V9" s="87" t="s">
        <v>20</v>
      </c>
      <c r="W9" s="87" t="s">
        <v>21</v>
      </c>
      <c r="X9" s="87" t="s">
        <v>22</v>
      </c>
      <c r="Y9" s="87" t="s">
        <v>23</v>
      </c>
      <c r="Z9" s="87" t="s">
        <v>24</v>
      </c>
      <c r="AA9" s="87" t="s">
        <v>25</v>
      </c>
      <c r="AB9" s="87" t="s">
        <v>26</v>
      </c>
      <c r="AC9" s="5"/>
      <c r="AD9" s="235" t="s">
        <v>27</v>
      </c>
      <c r="AF9" s="236"/>
      <c r="AG9" s="5" t="s">
        <v>28</v>
      </c>
    </row>
    <row r="10" ht="19.5" spans="3:35">
      <c r="C10" s="157"/>
      <c r="D10" s="158">
        <v>3</v>
      </c>
      <c r="E10" s="158" t="s">
        <v>29</v>
      </c>
      <c r="F10" s="159" t="s">
        <v>5</v>
      </c>
      <c r="G10" s="160" t="s">
        <v>30</v>
      </c>
      <c r="U10" s="212"/>
      <c r="V10" s="213">
        <v>0</v>
      </c>
      <c r="W10" s="213">
        <v>1</v>
      </c>
      <c r="X10" s="214">
        <v>1</v>
      </c>
      <c r="Y10" s="213">
        <v>1</v>
      </c>
      <c r="Z10" s="213">
        <v>1</v>
      </c>
      <c r="AA10" s="213">
        <v>1</v>
      </c>
      <c r="AB10" s="237">
        <v>1</v>
      </c>
      <c r="AC10" s="5"/>
      <c r="AD10" s="238">
        <v>3</v>
      </c>
      <c r="AE10" s="239" t="s">
        <v>5</v>
      </c>
      <c r="AF10" s="240" t="s">
        <v>31</v>
      </c>
      <c r="AG10" s="251">
        <v>0</v>
      </c>
      <c r="AI10" s="252" t="s">
        <v>26</v>
      </c>
    </row>
    <row r="11" ht="17.1" spans="3:35">
      <c r="C11" s="157"/>
      <c r="D11" s="158">
        <v>4</v>
      </c>
      <c r="E11" s="158" t="s">
        <v>32</v>
      </c>
      <c r="F11" s="159" t="s">
        <v>5</v>
      </c>
      <c r="G11" s="160" t="s">
        <v>33</v>
      </c>
      <c r="U11" s="215"/>
      <c r="V11" s="216">
        <v>0</v>
      </c>
      <c r="W11" s="216">
        <v>0</v>
      </c>
      <c r="X11" s="217">
        <v>0</v>
      </c>
      <c r="Y11" s="216">
        <v>0</v>
      </c>
      <c r="Z11" s="216">
        <v>1</v>
      </c>
      <c r="AA11" s="216">
        <v>1</v>
      </c>
      <c r="AB11" s="241">
        <v>0</v>
      </c>
      <c r="AC11" s="5"/>
      <c r="AD11" s="242">
        <v>0</v>
      </c>
      <c r="AE11" s="216">
        <v>6</v>
      </c>
      <c r="AF11" s="217" t="s">
        <v>31</v>
      </c>
      <c r="AG11" s="251">
        <v>1</v>
      </c>
      <c r="AI11" s="253"/>
    </row>
    <row r="12" ht="18.75" spans="3:36">
      <c r="C12" s="157"/>
      <c r="D12" s="158">
        <v>5</v>
      </c>
      <c r="E12" s="158" t="s">
        <v>34</v>
      </c>
      <c r="F12" s="159" t="s">
        <v>5</v>
      </c>
      <c r="G12" s="160" t="s">
        <v>35</v>
      </c>
      <c r="U12" s="215"/>
      <c r="V12" s="216">
        <v>1</v>
      </c>
      <c r="W12" s="216">
        <v>0</v>
      </c>
      <c r="X12" s="217">
        <v>1</v>
      </c>
      <c r="Y12" s="216">
        <v>1</v>
      </c>
      <c r="Z12" s="216">
        <v>0</v>
      </c>
      <c r="AA12" s="216">
        <v>1</v>
      </c>
      <c r="AB12" s="241">
        <v>1</v>
      </c>
      <c r="AC12" s="5"/>
      <c r="AD12" s="242">
        <v>5</v>
      </c>
      <c r="AE12" s="216" t="s">
        <v>33</v>
      </c>
      <c r="AF12" s="217" t="s">
        <v>31</v>
      </c>
      <c r="AG12" s="251">
        <v>2</v>
      </c>
      <c r="AH12" s="254" t="s">
        <v>21</v>
      </c>
      <c r="AI12" s="255"/>
      <c r="AJ12" s="256" t="s">
        <v>25</v>
      </c>
    </row>
    <row r="13" ht="16.35" spans="3:35">
      <c r="C13" s="157"/>
      <c r="D13" s="158">
        <v>6</v>
      </c>
      <c r="E13" s="158" t="s">
        <v>36</v>
      </c>
      <c r="F13" s="159" t="s">
        <v>5</v>
      </c>
      <c r="G13" s="160">
        <v>9</v>
      </c>
      <c r="U13" s="215"/>
      <c r="V13" s="216">
        <v>1</v>
      </c>
      <c r="W13" s="216">
        <v>0</v>
      </c>
      <c r="X13" s="217">
        <v>0</v>
      </c>
      <c r="Y13" s="216">
        <v>1</v>
      </c>
      <c r="Z13" s="216">
        <v>1</v>
      </c>
      <c r="AA13" s="216">
        <v>1</v>
      </c>
      <c r="AB13" s="241">
        <v>1</v>
      </c>
      <c r="AC13" s="5"/>
      <c r="AD13" s="242">
        <v>4</v>
      </c>
      <c r="AE13" s="216" t="s">
        <v>5</v>
      </c>
      <c r="AF13" s="217" t="s">
        <v>31</v>
      </c>
      <c r="AG13" s="251">
        <v>3</v>
      </c>
      <c r="AI13" s="257"/>
    </row>
    <row r="14" ht="18.75" spans="3:35">
      <c r="C14" s="161"/>
      <c r="D14" s="162">
        <v>7</v>
      </c>
      <c r="E14" s="162" t="s">
        <v>37</v>
      </c>
      <c r="F14" s="163" t="s">
        <v>5</v>
      </c>
      <c r="G14" s="164">
        <v>8</v>
      </c>
      <c r="U14" s="215"/>
      <c r="V14" s="216">
        <v>1</v>
      </c>
      <c r="W14" s="216">
        <v>1</v>
      </c>
      <c r="X14" s="217">
        <v>0</v>
      </c>
      <c r="Y14" s="216">
        <v>0</v>
      </c>
      <c r="Z14" s="216">
        <v>1</v>
      </c>
      <c r="AA14" s="216">
        <v>1</v>
      </c>
      <c r="AB14" s="241">
        <v>0</v>
      </c>
      <c r="AC14" s="5"/>
      <c r="AD14" s="242">
        <v>6</v>
      </c>
      <c r="AE14" s="216">
        <v>6</v>
      </c>
      <c r="AF14" s="217" t="s">
        <v>31</v>
      </c>
      <c r="AG14" s="251">
        <v>4</v>
      </c>
      <c r="AI14" s="258" t="s">
        <v>20</v>
      </c>
    </row>
    <row r="15" ht="15.15" spans="21:35">
      <c r="U15" s="215"/>
      <c r="V15" s="216">
        <v>1</v>
      </c>
      <c r="W15" s="216">
        <v>1</v>
      </c>
      <c r="X15" s="217">
        <v>0</v>
      </c>
      <c r="Y15" s="216">
        <v>1</v>
      </c>
      <c r="Z15" s="216">
        <v>1</v>
      </c>
      <c r="AA15" s="216">
        <v>0</v>
      </c>
      <c r="AB15" s="241">
        <v>1</v>
      </c>
      <c r="AC15" s="5"/>
      <c r="AD15" s="242">
        <v>6</v>
      </c>
      <c r="AE15" s="216" t="s">
        <v>18</v>
      </c>
      <c r="AF15" s="217" t="s">
        <v>31</v>
      </c>
      <c r="AG15" s="251">
        <v>5</v>
      </c>
      <c r="AI15" s="253"/>
    </row>
    <row r="16" ht="19" customHeight="1" spans="21:35">
      <c r="U16" s="215"/>
      <c r="V16" s="216">
        <v>1</v>
      </c>
      <c r="W16" s="216">
        <v>1</v>
      </c>
      <c r="X16" s="217">
        <v>1</v>
      </c>
      <c r="Y16" s="216">
        <v>1</v>
      </c>
      <c r="Z16" s="216">
        <v>1</v>
      </c>
      <c r="AA16" s="216">
        <v>0</v>
      </c>
      <c r="AB16" s="241">
        <v>1</v>
      </c>
      <c r="AC16" s="5"/>
      <c r="AD16" s="242">
        <v>7</v>
      </c>
      <c r="AE16" s="216" t="s">
        <v>18</v>
      </c>
      <c r="AF16" s="217" t="s">
        <v>31</v>
      </c>
      <c r="AG16" s="251">
        <v>6</v>
      </c>
      <c r="AI16" s="255"/>
    </row>
    <row r="17" ht="18.75" spans="3:36">
      <c r="C17" s="151"/>
      <c r="D17" s="165"/>
      <c r="E17" s="165"/>
      <c r="F17" s="165"/>
      <c r="G17" s="165"/>
      <c r="H17" s="165"/>
      <c r="I17" s="185" t="s">
        <v>38</v>
      </c>
      <c r="J17" s="186"/>
      <c r="K17" s="186"/>
      <c r="L17" s="186"/>
      <c r="M17" s="186"/>
      <c r="N17" s="186"/>
      <c r="O17" s="186"/>
      <c r="P17" s="187"/>
      <c r="Q17" s="165"/>
      <c r="R17" s="165"/>
      <c r="S17" s="165"/>
      <c r="U17" s="215"/>
      <c r="V17" s="216">
        <v>0</v>
      </c>
      <c r="W17" s="216">
        <v>0</v>
      </c>
      <c r="X17" s="217">
        <v>0</v>
      </c>
      <c r="Y17" s="216">
        <v>0</v>
      </c>
      <c r="Z17" s="216">
        <v>1</v>
      </c>
      <c r="AA17" s="216">
        <v>1</v>
      </c>
      <c r="AB17" s="241">
        <v>1</v>
      </c>
      <c r="AC17" s="5"/>
      <c r="AD17" s="242">
        <v>0</v>
      </c>
      <c r="AE17" s="216">
        <v>7</v>
      </c>
      <c r="AF17" s="217" t="s">
        <v>31</v>
      </c>
      <c r="AG17" s="251">
        <v>7</v>
      </c>
      <c r="AH17" s="254" t="s">
        <v>22</v>
      </c>
      <c r="AI17" s="257"/>
      <c r="AJ17" s="256" t="s">
        <v>24</v>
      </c>
    </row>
    <row r="18" ht="16.35" spans="3:35">
      <c r="C18" s="151"/>
      <c r="D18" s="165"/>
      <c r="E18" s="165"/>
      <c r="F18" s="165"/>
      <c r="G18" s="165"/>
      <c r="H18" s="165"/>
      <c r="I18" s="158" t="s">
        <v>1</v>
      </c>
      <c r="J18" s="158"/>
      <c r="K18" s="158"/>
      <c r="L18" s="158"/>
      <c r="M18" s="158"/>
      <c r="N18" s="158"/>
      <c r="O18" s="158"/>
      <c r="P18" s="158"/>
      <c r="Q18" s="165"/>
      <c r="R18" s="218" t="s">
        <v>39</v>
      </c>
      <c r="S18" s="219"/>
      <c r="U18" s="220"/>
      <c r="V18" s="216">
        <v>1</v>
      </c>
      <c r="W18" s="216">
        <v>1</v>
      </c>
      <c r="X18" s="217">
        <v>1</v>
      </c>
      <c r="Y18" s="216">
        <v>1</v>
      </c>
      <c r="Z18" s="216">
        <v>1</v>
      </c>
      <c r="AA18" s="216">
        <v>1</v>
      </c>
      <c r="AB18" s="241">
        <v>1</v>
      </c>
      <c r="AD18" s="242">
        <v>7</v>
      </c>
      <c r="AE18" s="216" t="s">
        <v>5</v>
      </c>
      <c r="AF18" s="217" t="s">
        <v>31</v>
      </c>
      <c r="AG18" s="251">
        <v>8</v>
      </c>
      <c r="AI18" s="259"/>
    </row>
    <row r="19" ht="19.5" spans="3:35">
      <c r="C19" s="151"/>
      <c r="D19" s="165"/>
      <c r="E19" s="166" t="s">
        <v>40</v>
      </c>
      <c r="F19" s="166" t="s">
        <v>41</v>
      </c>
      <c r="G19" s="166" t="s">
        <v>42</v>
      </c>
      <c r="H19" s="165"/>
      <c r="I19" s="166" t="s">
        <v>43</v>
      </c>
      <c r="J19" s="166" t="s">
        <v>44</v>
      </c>
      <c r="K19" s="166" t="s">
        <v>45</v>
      </c>
      <c r="L19" s="166" t="s">
        <v>46</v>
      </c>
      <c r="M19" s="166" t="s">
        <v>47</v>
      </c>
      <c r="N19" s="175" t="s">
        <v>40</v>
      </c>
      <c r="O19" s="175" t="s">
        <v>41</v>
      </c>
      <c r="P19" s="175" t="s">
        <v>42</v>
      </c>
      <c r="Q19" s="165"/>
      <c r="R19" s="221" t="s">
        <v>27</v>
      </c>
      <c r="S19" s="222"/>
      <c r="U19" s="223"/>
      <c r="V19" s="224">
        <v>1</v>
      </c>
      <c r="W19" s="224">
        <v>1</v>
      </c>
      <c r="X19" s="225">
        <v>0</v>
      </c>
      <c r="Y19" s="224">
        <v>1</v>
      </c>
      <c r="Z19" s="224">
        <v>1</v>
      </c>
      <c r="AA19" s="224">
        <v>1</v>
      </c>
      <c r="AB19" s="243">
        <v>1</v>
      </c>
      <c r="AD19" s="244">
        <v>6</v>
      </c>
      <c r="AE19" s="245" t="s">
        <v>5</v>
      </c>
      <c r="AF19" s="246" t="s">
        <v>31</v>
      </c>
      <c r="AG19" s="251">
        <v>9</v>
      </c>
      <c r="AI19" s="252" t="s">
        <v>23</v>
      </c>
    </row>
    <row r="20" ht="17.1" spans="3:19">
      <c r="C20" s="167" t="s">
        <v>48</v>
      </c>
      <c r="D20" s="168">
        <v>0</v>
      </c>
      <c r="E20" s="169">
        <v>1</v>
      </c>
      <c r="F20" s="170">
        <v>1</v>
      </c>
      <c r="G20" s="171">
        <v>1</v>
      </c>
      <c r="H20" s="165"/>
      <c r="I20" s="188">
        <v>1</v>
      </c>
      <c r="J20" s="154">
        <v>1</v>
      </c>
      <c r="K20" s="154">
        <v>1</v>
      </c>
      <c r="L20" s="189">
        <v>1</v>
      </c>
      <c r="M20" s="190">
        <v>1</v>
      </c>
      <c r="N20" s="170">
        <v>1</v>
      </c>
      <c r="O20" s="170">
        <v>1</v>
      </c>
      <c r="P20" s="171">
        <v>1</v>
      </c>
      <c r="Q20" s="226"/>
      <c r="R20" s="227" t="s">
        <v>5</v>
      </c>
      <c r="S20" s="228" t="s">
        <v>5</v>
      </c>
    </row>
    <row r="21" ht="16.35" spans="3:19">
      <c r="C21" s="172"/>
      <c r="D21" s="173">
        <v>2</v>
      </c>
      <c r="E21" s="174">
        <v>1</v>
      </c>
      <c r="F21" s="175">
        <v>0</v>
      </c>
      <c r="G21" s="176">
        <v>1</v>
      </c>
      <c r="H21" s="165"/>
      <c r="I21" s="191">
        <v>1</v>
      </c>
      <c r="J21" s="158">
        <v>1</v>
      </c>
      <c r="K21" s="158">
        <v>1</v>
      </c>
      <c r="L21" s="192">
        <v>1</v>
      </c>
      <c r="M21" s="193">
        <v>1</v>
      </c>
      <c r="N21" s="175">
        <v>1</v>
      </c>
      <c r="O21" s="175">
        <v>0</v>
      </c>
      <c r="P21" s="176">
        <v>1</v>
      </c>
      <c r="Q21" s="226"/>
      <c r="R21" s="229" t="s">
        <v>5</v>
      </c>
      <c r="S21" s="230" t="s">
        <v>18</v>
      </c>
    </row>
    <row r="22" ht="16.35" spans="3:19">
      <c r="C22" s="172"/>
      <c r="D22" s="173">
        <v>4</v>
      </c>
      <c r="E22" s="174">
        <v>0</v>
      </c>
      <c r="F22" s="175">
        <v>1</v>
      </c>
      <c r="G22" s="176">
        <v>1</v>
      </c>
      <c r="H22" s="165"/>
      <c r="I22" s="191">
        <v>1</v>
      </c>
      <c r="J22" s="158">
        <v>1</v>
      </c>
      <c r="K22" s="158">
        <v>1</v>
      </c>
      <c r="L22" s="192">
        <v>1</v>
      </c>
      <c r="M22" s="193">
        <v>1</v>
      </c>
      <c r="N22" s="175">
        <v>0</v>
      </c>
      <c r="O22" s="175">
        <v>1</v>
      </c>
      <c r="P22" s="176">
        <v>1</v>
      </c>
      <c r="Q22" s="226"/>
      <c r="R22" s="229" t="s">
        <v>5</v>
      </c>
      <c r="S22" s="230" t="s">
        <v>33</v>
      </c>
    </row>
    <row r="23" ht="16.35" spans="3:19">
      <c r="C23" s="172"/>
      <c r="D23" s="173">
        <v>6</v>
      </c>
      <c r="E23" s="174">
        <v>0</v>
      </c>
      <c r="F23" s="175">
        <v>0</v>
      </c>
      <c r="G23" s="176">
        <v>1</v>
      </c>
      <c r="H23" s="165"/>
      <c r="I23" s="191">
        <v>1</v>
      </c>
      <c r="J23" s="158">
        <v>1</v>
      </c>
      <c r="K23" s="158">
        <v>1</v>
      </c>
      <c r="L23" s="192">
        <v>1</v>
      </c>
      <c r="M23" s="193">
        <v>1</v>
      </c>
      <c r="N23" s="175">
        <v>0</v>
      </c>
      <c r="O23" s="175">
        <v>0</v>
      </c>
      <c r="P23" s="176">
        <v>1</v>
      </c>
      <c r="Q23" s="226"/>
      <c r="R23" s="229" t="s">
        <v>5</v>
      </c>
      <c r="S23" s="230">
        <v>9</v>
      </c>
    </row>
    <row r="24" ht="16.35" spans="3:19">
      <c r="C24" s="172"/>
      <c r="D24" s="173">
        <v>7</v>
      </c>
      <c r="E24" s="174">
        <v>0</v>
      </c>
      <c r="F24" s="175">
        <v>0</v>
      </c>
      <c r="G24" s="176">
        <v>0</v>
      </c>
      <c r="H24" s="165"/>
      <c r="I24" s="191">
        <v>1</v>
      </c>
      <c r="J24" s="158">
        <v>1</v>
      </c>
      <c r="K24" s="158">
        <v>1</v>
      </c>
      <c r="L24" s="192">
        <v>1</v>
      </c>
      <c r="M24" s="193">
        <v>1</v>
      </c>
      <c r="N24" s="175">
        <v>0</v>
      </c>
      <c r="O24" s="175">
        <v>0</v>
      </c>
      <c r="P24" s="176">
        <v>0</v>
      </c>
      <c r="Q24" s="226"/>
      <c r="R24" s="229" t="s">
        <v>5</v>
      </c>
      <c r="S24" s="230">
        <v>8</v>
      </c>
    </row>
    <row r="25" ht="16.35" spans="3:19">
      <c r="C25" s="172"/>
      <c r="D25" s="173">
        <v>5</v>
      </c>
      <c r="E25" s="174">
        <v>0</v>
      </c>
      <c r="F25" s="175">
        <v>1</v>
      </c>
      <c r="G25" s="176">
        <v>0</v>
      </c>
      <c r="H25" s="165"/>
      <c r="I25" s="191">
        <v>1</v>
      </c>
      <c r="J25" s="158">
        <v>1</v>
      </c>
      <c r="K25" s="158">
        <v>1</v>
      </c>
      <c r="L25" s="192">
        <v>1</v>
      </c>
      <c r="M25" s="193">
        <v>1</v>
      </c>
      <c r="N25" s="175">
        <v>0</v>
      </c>
      <c r="O25" s="175">
        <v>1</v>
      </c>
      <c r="P25" s="176">
        <v>0</v>
      </c>
      <c r="Q25" s="226"/>
      <c r="R25" s="229" t="s">
        <v>5</v>
      </c>
      <c r="S25" s="230" t="s">
        <v>35</v>
      </c>
    </row>
    <row r="26" ht="16.35" spans="3:19">
      <c r="C26" s="172"/>
      <c r="D26" s="173">
        <v>3</v>
      </c>
      <c r="E26" s="174">
        <v>1</v>
      </c>
      <c r="F26" s="175">
        <v>0</v>
      </c>
      <c r="G26" s="176">
        <v>0</v>
      </c>
      <c r="H26" s="165"/>
      <c r="I26" s="191">
        <v>1</v>
      </c>
      <c r="J26" s="158">
        <v>1</v>
      </c>
      <c r="K26" s="158">
        <v>1</v>
      </c>
      <c r="L26" s="192">
        <v>1</v>
      </c>
      <c r="M26" s="193">
        <v>1</v>
      </c>
      <c r="N26" s="175">
        <v>1</v>
      </c>
      <c r="O26" s="175">
        <v>0</v>
      </c>
      <c r="P26" s="176">
        <v>0</v>
      </c>
      <c r="Q26" s="226"/>
      <c r="R26" s="229" t="s">
        <v>5</v>
      </c>
      <c r="S26" s="230" t="s">
        <v>30</v>
      </c>
    </row>
    <row r="27" ht="16.35" spans="3:19">
      <c r="C27" s="177"/>
      <c r="D27" s="178">
        <v>1</v>
      </c>
      <c r="E27" s="179">
        <v>1</v>
      </c>
      <c r="F27" s="180">
        <v>1</v>
      </c>
      <c r="G27" s="181">
        <v>0</v>
      </c>
      <c r="H27" s="165"/>
      <c r="I27" s="194">
        <v>1</v>
      </c>
      <c r="J27" s="162">
        <v>1</v>
      </c>
      <c r="K27" s="162">
        <v>1</v>
      </c>
      <c r="L27" s="195">
        <v>1</v>
      </c>
      <c r="M27" s="196">
        <v>1</v>
      </c>
      <c r="N27" s="180">
        <v>1</v>
      </c>
      <c r="O27" s="180">
        <v>1</v>
      </c>
      <c r="P27" s="181">
        <v>0</v>
      </c>
      <c r="Q27" s="226"/>
      <c r="R27" s="231" t="s">
        <v>5</v>
      </c>
      <c r="S27" s="232" t="s">
        <v>8</v>
      </c>
    </row>
    <row r="28" ht="15.15"/>
    <row r="29" spans="21:35">
      <c r="U29" s="233" t="s">
        <v>49</v>
      </c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21:35"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  <row r="31" ht="15.15" spans="21:35"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</row>
    <row r="32" spans="3:35">
      <c r="C32" s="182" t="s">
        <v>50</v>
      </c>
      <c r="D32" s="182"/>
      <c r="E32" s="182"/>
      <c r="F32" s="182"/>
      <c r="G32" s="182"/>
      <c r="I32" s="197" t="s">
        <v>51</v>
      </c>
      <c r="J32" s="198">
        <v>6</v>
      </c>
      <c r="K32" s="198" t="s">
        <v>51</v>
      </c>
      <c r="L32" s="198">
        <v>4</v>
      </c>
      <c r="M32" s="198" t="s">
        <v>51</v>
      </c>
      <c r="N32" s="198">
        <v>2</v>
      </c>
      <c r="O32" s="198" t="s">
        <v>51</v>
      </c>
      <c r="P32" s="199">
        <v>0</v>
      </c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</row>
    <row r="33" ht="15.15" spans="3:35">
      <c r="C33" s="182"/>
      <c r="D33" s="182"/>
      <c r="E33" s="182"/>
      <c r="F33" s="182"/>
      <c r="G33" s="182"/>
      <c r="I33" s="200">
        <v>7</v>
      </c>
      <c r="J33" s="201" t="s">
        <v>52</v>
      </c>
      <c r="K33" s="201">
        <v>5</v>
      </c>
      <c r="L33" s="201" t="s">
        <v>52</v>
      </c>
      <c r="M33" s="201">
        <v>3</v>
      </c>
      <c r="N33" s="201" t="s">
        <v>52</v>
      </c>
      <c r="O33" s="201">
        <v>1</v>
      </c>
      <c r="P33" s="202"/>
      <c r="U33" s="5" t="s">
        <v>53</v>
      </c>
      <c r="V33" s="5"/>
      <c r="W33" s="5"/>
      <c r="X33" s="5"/>
      <c r="Y33" s="5"/>
      <c r="Z33" s="5"/>
      <c r="AA33" s="5"/>
      <c r="AB33" s="5"/>
      <c r="AC33" s="5"/>
      <c r="AG33" s="5"/>
      <c r="AH33" s="5"/>
      <c r="AI33" s="5"/>
    </row>
    <row r="34" ht="15.15" spans="21:35">
      <c r="U34" s="5" t="s">
        <v>54</v>
      </c>
      <c r="V34" s="5"/>
      <c r="W34" s="5"/>
      <c r="X34" s="5"/>
      <c r="Y34" s="5"/>
      <c r="Z34" s="5"/>
      <c r="AA34" s="5"/>
      <c r="AB34" s="5"/>
      <c r="AC34" s="5"/>
      <c r="AG34" s="5"/>
      <c r="AH34" s="5"/>
      <c r="AI34" s="5"/>
    </row>
    <row r="35" ht="15.15" spans="7:35">
      <c r="G35" s="183" t="s">
        <v>55</v>
      </c>
      <c r="I35" s="203">
        <v>0</v>
      </c>
      <c r="J35" s="204">
        <v>1</v>
      </c>
      <c r="K35" s="204">
        <v>1</v>
      </c>
      <c r="L35" s="204">
        <v>0</v>
      </c>
      <c r="M35" s="204">
        <v>0</v>
      </c>
      <c r="N35" s="204">
        <v>4</v>
      </c>
      <c r="O35" s="204">
        <v>3</v>
      </c>
      <c r="P35" s="205">
        <v>2</v>
      </c>
      <c r="U35" s="5" t="s">
        <v>56</v>
      </c>
      <c r="V35" s="5"/>
      <c r="W35" s="5"/>
      <c r="X35" s="5"/>
      <c r="Y35" s="5"/>
      <c r="Z35" s="5"/>
      <c r="AA35" s="5"/>
      <c r="AB35" s="5"/>
      <c r="AC35" s="5"/>
      <c r="AG35" s="5"/>
      <c r="AH35" s="5"/>
      <c r="AI35" s="5"/>
    </row>
    <row r="36" ht="15.15" spans="21:35">
      <c r="U36" s="5" t="s">
        <v>57</v>
      </c>
      <c r="V36" s="5"/>
      <c r="W36" s="5"/>
      <c r="X36" s="5"/>
      <c r="Y36" s="5"/>
      <c r="Z36" s="5"/>
      <c r="AA36" s="5"/>
      <c r="AB36" s="5"/>
      <c r="AC36" s="5"/>
      <c r="AG36" s="5"/>
      <c r="AH36" s="5"/>
      <c r="AI36" s="5"/>
    </row>
    <row r="37" spans="3:35">
      <c r="C37" s="184" t="s">
        <v>58</v>
      </c>
      <c r="D37" s="184"/>
      <c r="E37" s="184"/>
      <c r="F37" s="184"/>
      <c r="G37" s="184"/>
      <c r="I37" s="197" t="s">
        <v>51</v>
      </c>
      <c r="J37" s="206">
        <v>1</v>
      </c>
      <c r="K37" s="198" t="s">
        <v>51</v>
      </c>
      <c r="L37" s="206">
        <v>0</v>
      </c>
      <c r="M37" s="198" t="s">
        <v>51</v>
      </c>
      <c r="N37" s="206">
        <v>4</v>
      </c>
      <c r="O37" s="198" t="s">
        <v>51</v>
      </c>
      <c r="P37" s="207">
        <v>2</v>
      </c>
      <c r="U37" s="5" t="s">
        <v>59</v>
      </c>
      <c r="V37" s="5"/>
      <c r="W37" s="5"/>
      <c r="X37" s="5"/>
      <c r="Y37" s="5"/>
      <c r="Z37" s="5"/>
      <c r="AA37" s="5"/>
      <c r="AB37" s="5"/>
      <c r="AC37" s="5"/>
      <c r="AG37" s="5"/>
      <c r="AH37" s="5"/>
      <c r="AI37" s="5"/>
    </row>
    <row r="38" ht="15.15" spans="3:35">
      <c r="C38" s="184"/>
      <c r="D38" s="184"/>
      <c r="E38" s="184"/>
      <c r="F38" s="184"/>
      <c r="G38" s="184"/>
      <c r="I38" s="208">
        <v>0</v>
      </c>
      <c r="J38" s="201" t="s">
        <v>52</v>
      </c>
      <c r="K38" s="209">
        <v>1</v>
      </c>
      <c r="L38" s="201" t="s">
        <v>52</v>
      </c>
      <c r="M38" s="209">
        <v>0</v>
      </c>
      <c r="N38" s="201" t="s">
        <v>52</v>
      </c>
      <c r="O38" s="209">
        <v>3</v>
      </c>
      <c r="P38" s="202"/>
      <c r="U38" s="5" t="s">
        <v>60</v>
      </c>
      <c r="V38" s="5"/>
      <c r="W38" s="5"/>
      <c r="X38" s="5"/>
      <c r="Y38" s="5"/>
      <c r="Z38" s="5"/>
      <c r="AA38" s="5"/>
      <c r="AB38" s="5"/>
      <c r="AC38" s="5"/>
      <c r="AG38" s="5"/>
      <c r="AH38" s="5"/>
      <c r="AI38" s="5"/>
    </row>
    <row r="39" spans="21:35">
      <c r="U39" s="5" t="s">
        <v>61</v>
      </c>
      <c r="V39" s="5"/>
      <c r="W39" s="5"/>
      <c r="X39" s="5"/>
      <c r="Y39" s="5"/>
      <c r="Z39" s="5"/>
      <c r="AA39" s="5"/>
      <c r="AB39" s="5"/>
      <c r="AC39" s="5"/>
      <c r="AG39" s="5"/>
      <c r="AH39" s="5"/>
      <c r="AI39" s="5"/>
    </row>
    <row r="44" spans="21:25">
      <c r="U44" s="1" t="s">
        <v>62</v>
      </c>
      <c r="V44" s="1"/>
      <c r="W44" s="1" t="s">
        <v>63</v>
      </c>
      <c r="X44" s="1" t="s">
        <v>64</v>
      </c>
      <c r="Y44" t="s">
        <v>65</v>
      </c>
    </row>
    <row r="45" spans="21:35">
      <c r="U45" s="1" t="s">
        <v>66</v>
      </c>
      <c r="V45" s="1"/>
      <c r="W45" s="1" t="s">
        <v>63</v>
      </c>
      <c r="X45" s="1" t="s">
        <v>67</v>
      </c>
      <c r="Y45" t="s">
        <v>68</v>
      </c>
      <c r="AB45" s="5"/>
      <c r="AC45" s="5"/>
      <c r="AF45" s="34"/>
      <c r="AG45" s="34"/>
      <c r="AH45" s="248"/>
      <c r="AI45" s="29"/>
    </row>
    <row r="46" spans="23:35">
      <c r="W46" s="1" t="s">
        <v>69</v>
      </c>
      <c r="X46" s="1" t="s">
        <v>67</v>
      </c>
      <c r="Y46" t="s">
        <v>70</v>
      </c>
      <c r="AB46" s="5">
        <v>2e-6</v>
      </c>
      <c r="AC46" s="5"/>
      <c r="AE46" s="5" t="s">
        <v>71</v>
      </c>
      <c r="AF46" s="34"/>
      <c r="AG46" s="34">
        <v>248</v>
      </c>
      <c r="AH46" s="248" t="s">
        <v>72</v>
      </c>
      <c r="AI46" s="29">
        <f>MMULT(AB46,AG46)</f>
        <v>0.000496</v>
      </c>
    </row>
    <row r="47" spans="23:39">
      <c r="W47" s="1" t="s">
        <v>69</v>
      </c>
      <c r="X47" s="1" t="s">
        <v>64</v>
      </c>
      <c r="Y47" t="s">
        <v>73</v>
      </c>
      <c r="AA47" s="247">
        <f>AI46</f>
        <v>0.000496</v>
      </c>
      <c r="AB47" s="247"/>
      <c r="AC47" s="248" t="s">
        <v>74</v>
      </c>
      <c r="AD47" s="5">
        <f>AB46</f>
        <v>2e-6</v>
      </c>
      <c r="AG47" s="5" t="s">
        <v>71</v>
      </c>
      <c r="AH47" s="5">
        <v>2</v>
      </c>
      <c r="AI47" s="29">
        <f>MMULT(AD47,AH47)</f>
        <v>4e-6</v>
      </c>
      <c r="AJ47" s="249" t="s">
        <v>72</v>
      </c>
      <c r="AK47" s="260">
        <f>SUM(AA47,AI47)</f>
        <v>0.0005</v>
      </c>
      <c r="AL47">
        <v>200</v>
      </c>
      <c r="AM47">
        <f>MMULT(AK47,AL47)</f>
        <v>0.1</v>
      </c>
    </row>
    <row r="48" spans="23:33">
      <c r="W48" s="1" t="s">
        <v>69</v>
      </c>
      <c r="X48" s="1" t="s">
        <v>75</v>
      </c>
      <c r="Y48" t="s">
        <v>76</v>
      </c>
      <c r="AA48" s="123">
        <f>AM47</f>
        <v>0.1</v>
      </c>
      <c r="AB48" s="123"/>
      <c r="AC48" s="249" t="s">
        <v>71</v>
      </c>
      <c r="AD48" s="5">
        <v>5</v>
      </c>
      <c r="AE48" s="5" t="s">
        <v>72</v>
      </c>
      <c r="AF48" s="250">
        <f>MMULT(AA48,AD48)</f>
        <v>0.5</v>
      </c>
      <c r="AG48" s="250"/>
    </row>
    <row r="50" spans="23:23">
      <c r="W50" s="1" t="s">
        <v>77</v>
      </c>
    </row>
    <row r="52" spans="34:34">
      <c r="AH52" s="5"/>
    </row>
  </sheetData>
  <mergeCells count="29">
    <mergeCell ref="F6:G6"/>
    <mergeCell ref="U6:AB6"/>
    <mergeCell ref="U7:AB7"/>
    <mergeCell ref="AD8:AF8"/>
    <mergeCell ref="AD9:AF9"/>
    <mergeCell ref="I17:P17"/>
    <mergeCell ref="I18:P18"/>
    <mergeCell ref="R18:S18"/>
    <mergeCell ref="R19:S19"/>
    <mergeCell ref="U33:AI33"/>
    <mergeCell ref="U34:AI34"/>
    <mergeCell ref="U35:AI35"/>
    <mergeCell ref="U36:AI36"/>
    <mergeCell ref="U37:AI37"/>
    <mergeCell ref="U38:AI38"/>
    <mergeCell ref="U39:AI39"/>
    <mergeCell ref="U44:V44"/>
    <mergeCell ref="U45:V45"/>
    <mergeCell ref="AB45:AD45"/>
    <mergeCell ref="AB46:AD46"/>
    <mergeCell ref="AA47:AB47"/>
    <mergeCell ref="AD47:AF47"/>
    <mergeCell ref="AA48:AB48"/>
    <mergeCell ref="AF48:AG48"/>
    <mergeCell ref="C7:C14"/>
    <mergeCell ref="C20:C27"/>
    <mergeCell ref="C32:G33"/>
    <mergeCell ref="C37:G38"/>
    <mergeCell ref="U29:AI3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AA185"/>
  <sheetViews>
    <sheetView tabSelected="1" workbookViewId="0">
      <selection activeCell="W75" sqref="W75"/>
    </sheetView>
  </sheetViews>
  <sheetFormatPr defaultColWidth="8.88888888888889" defaultRowHeight="14.4"/>
  <cols>
    <col min="4" max="4" width="8.11111111111111" customWidth="1"/>
    <col min="5" max="5" width="6.88888888888889" customWidth="1"/>
    <col min="6" max="6" width="5.88888888888889" customWidth="1"/>
    <col min="7" max="7" width="7.33333333333333" customWidth="1"/>
    <col min="9" max="9" width="14.2222222222222" customWidth="1"/>
    <col min="10" max="10" width="15.2222222222222" style="1" customWidth="1"/>
    <col min="11" max="11" width="5.66666666666667" customWidth="1"/>
    <col min="12" max="12" width="13.4444444444444" customWidth="1"/>
    <col min="13" max="13" width="10" customWidth="1"/>
    <col min="14" max="14" width="16" customWidth="1"/>
    <col min="16" max="16" width="12" customWidth="1"/>
    <col min="17" max="17" width="13.4444444444444" customWidth="1"/>
    <col min="18" max="18" width="11.5555555555556" customWidth="1"/>
    <col min="19" max="19" width="12.8888888888889" customWidth="1"/>
    <col min="20" max="24" width="7.66666666666667" customWidth="1"/>
    <col min="25" max="25" width="6.88888888888889" customWidth="1"/>
  </cols>
  <sheetData>
    <row r="4" ht="40.2" spans="4:4">
      <c r="D4" s="2" t="s">
        <v>78</v>
      </c>
    </row>
    <row r="7" spans="10:12">
      <c r="J7" s="24">
        <v>11.0592</v>
      </c>
      <c r="K7" s="25" t="s">
        <v>79</v>
      </c>
      <c r="L7" t="s">
        <v>80</v>
      </c>
    </row>
    <row r="8" spans="9:11">
      <c r="I8" s="26" t="s">
        <v>71</v>
      </c>
      <c r="J8" s="27">
        <v>1000000</v>
      </c>
      <c r="K8" s="28"/>
    </row>
    <row r="9" spans="10:11">
      <c r="J9" s="18">
        <f>MMULT(J7,J8)</f>
        <v>11059200</v>
      </c>
      <c r="K9" s="25" t="s">
        <v>81</v>
      </c>
    </row>
    <row r="10" spans="10:13">
      <c r="J10" s="18">
        <v>12</v>
      </c>
      <c r="K10" s="25"/>
      <c r="L10" s="29" t="s">
        <v>82</v>
      </c>
      <c r="M10" s="29"/>
    </row>
    <row r="11" spans="9:11">
      <c r="I11" s="1" t="s">
        <v>83</v>
      </c>
      <c r="J11" s="18">
        <f>MMULT(J9,1/J10)</f>
        <v>921600</v>
      </c>
      <c r="K11" s="25" t="s">
        <v>81</v>
      </c>
    </row>
    <row r="12" spans="9:11">
      <c r="I12" s="1"/>
      <c r="J12" s="30">
        <v>921.6</v>
      </c>
      <c r="K12" s="25" t="s">
        <v>84</v>
      </c>
    </row>
    <row r="13" spans="9:14">
      <c r="I13" s="31" t="s">
        <v>85</v>
      </c>
      <c r="J13" s="32">
        <f>MMULT(1,1/J11)</f>
        <v>1.08506944444444e-6</v>
      </c>
      <c r="K13" s="33" t="s">
        <v>86</v>
      </c>
      <c r="M13" s="29" t="s">
        <v>87</v>
      </c>
      <c r="N13" s="29"/>
    </row>
    <row r="14" spans="9:13">
      <c r="I14" s="1" t="s">
        <v>85</v>
      </c>
      <c r="J14" s="24">
        <v>1.085</v>
      </c>
      <c r="K14" s="25" t="s">
        <v>88</v>
      </c>
      <c r="L14" t="s">
        <v>89</v>
      </c>
      <c r="M14" s="34" t="s">
        <v>87</v>
      </c>
    </row>
    <row r="15" spans="9:13">
      <c r="I15" s="1"/>
      <c r="J15" s="24"/>
      <c r="K15" s="25"/>
      <c r="M15" s="34"/>
    </row>
    <row r="16" spans="9:13">
      <c r="I16" s="1"/>
      <c r="J16" s="24"/>
      <c r="K16" s="25"/>
      <c r="M16" s="34"/>
    </row>
    <row r="17" spans="9:13">
      <c r="I17" s="1"/>
      <c r="J17" s="24"/>
      <c r="K17" s="25"/>
      <c r="M17" s="34"/>
    </row>
    <row r="18" spans="9:13">
      <c r="I18" s="1"/>
      <c r="J18" s="24"/>
      <c r="K18" s="25"/>
      <c r="M18" s="34"/>
    </row>
    <row r="19" ht="18" spans="3:14">
      <c r="C19" s="3" t="s">
        <v>90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35"/>
    </row>
    <row r="20" spans="4:7">
      <c r="D20" s="5" t="s">
        <v>91</v>
      </c>
      <c r="E20" s="5"/>
      <c r="F20" s="5" t="s">
        <v>92</v>
      </c>
      <c r="G20" s="5"/>
    </row>
    <row r="21" spans="3:7">
      <c r="C21" s="1" t="s">
        <v>93</v>
      </c>
      <c r="D21" s="6" t="s">
        <v>5</v>
      </c>
      <c r="E21" s="6" t="s">
        <v>5</v>
      </c>
      <c r="F21" s="6" t="s">
        <v>5</v>
      </c>
      <c r="G21" s="6" t="s">
        <v>5</v>
      </c>
    </row>
    <row r="22" spans="3:8">
      <c r="C22" s="1" t="s">
        <v>94</v>
      </c>
      <c r="D22" s="7">
        <v>15</v>
      </c>
      <c r="E22" s="7">
        <v>15</v>
      </c>
      <c r="F22" s="7">
        <v>15</v>
      </c>
      <c r="G22" s="7">
        <v>15</v>
      </c>
      <c r="H22" s="8"/>
    </row>
    <row r="23" spans="4:8">
      <c r="D23" s="9">
        <v>4096</v>
      </c>
      <c r="E23" s="9">
        <v>256</v>
      </c>
      <c r="F23" s="9">
        <v>16</v>
      </c>
      <c r="G23" s="9">
        <v>1</v>
      </c>
      <c r="H23" s="8"/>
    </row>
    <row r="24" spans="4:8">
      <c r="D24" s="9">
        <f t="shared" ref="D24:G24" si="0">MMULT(D22,D23)</f>
        <v>61440</v>
      </c>
      <c r="E24" s="9">
        <f t="shared" si="0"/>
        <v>3840</v>
      </c>
      <c r="F24" s="9">
        <f t="shared" si="0"/>
        <v>240</v>
      </c>
      <c r="G24" s="9">
        <f t="shared" si="0"/>
        <v>15</v>
      </c>
      <c r="H24" s="8">
        <f>SUM(D24:G24)</f>
        <v>65535</v>
      </c>
    </row>
    <row r="26" spans="4:7">
      <c r="D26" s="5"/>
      <c r="E26" s="5"/>
      <c r="F26" s="5"/>
      <c r="G26" s="5"/>
    </row>
    <row r="27" spans="4:7">
      <c r="D27" s="5" t="s">
        <v>91</v>
      </c>
      <c r="E27" s="5"/>
      <c r="F27" s="5" t="s">
        <v>92</v>
      </c>
      <c r="G27" s="5"/>
    </row>
    <row r="28" spans="3:7">
      <c r="C28" s="1" t="s">
        <v>93</v>
      </c>
      <c r="D28" s="6">
        <v>0</v>
      </c>
      <c r="E28" s="6">
        <v>6</v>
      </c>
      <c r="F28" s="6">
        <v>3</v>
      </c>
      <c r="G28" s="6">
        <v>4</v>
      </c>
    </row>
    <row r="29" spans="3:8">
      <c r="C29" s="1" t="s">
        <v>94</v>
      </c>
      <c r="D29" s="7">
        <v>0</v>
      </c>
      <c r="E29" s="7">
        <v>0</v>
      </c>
      <c r="F29" s="7">
        <v>0</v>
      </c>
      <c r="G29" s="7">
        <v>0</v>
      </c>
      <c r="H29" s="8"/>
    </row>
    <row r="30" spans="4:8">
      <c r="D30" s="9">
        <v>4096</v>
      </c>
      <c r="E30" s="9">
        <v>256</v>
      </c>
      <c r="F30" s="9">
        <v>16</v>
      </c>
      <c r="G30" s="9">
        <v>1</v>
      </c>
      <c r="H30" s="8"/>
    </row>
    <row r="31" spans="4:8">
      <c r="D31" s="9">
        <f>MMULT(D29,D30)</f>
        <v>0</v>
      </c>
      <c r="E31" s="9">
        <f>MMULT(E29,E30)</f>
        <v>0</v>
      </c>
      <c r="F31" s="9">
        <f>MMULT(F29,F30)</f>
        <v>0</v>
      </c>
      <c r="G31" s="9">
        <f>MMULT(G29,G30)</f>
        <v>0</v>
      </c>
      <c r="H31" s="8">
        <f>SUM(D31:G31)</f>
        <v>0</v>
      </c>
    </row>
    <row r="32" ht="15.9" spans="4:25">
      <c r="D32" s="9"/>
      <c r="E32" s="9"/>
      <c r="F32" s="9"/>
      <c r="G32" s="9"/>
      <c r="H32" s="8">
        <f>SUM(H24,-H31)</f>
        <v>65535</v>
      </c>
      <c r="I32" s="1"/>
      <c r="Q32" s="51"/>
      <c r="R32" s="52"/>
      <c r="S32" s="53" t="s">
        <v>95</v>
      </c>
      <c r="T32" s="53">
        <v>7</v>
      </c>
      <c r="U32" s="53">
        <v>3</v>
      </c>
      <c r="V32" s="53"/>
      <c r="W32" s="53">
        <v>6</v>
      </c>
      <c r="X32" s="53">
        <v>5</v>
      </c>
      <c r="Y32" s="94">
        <v>1</v>
      </c>
    </row>
    <row r="33" ht="15.9" spans="4:25">
      <c r="D33" s="10"/>
      <c r="E33" s="10"/>
      <c r="F33" s="10"/>
      <c r="G33" s="11" t="s">
        <v>96</v>
      </c>
      <c r="H33" s="12">
        <v>1</v>
      </c>
      <c r="I33" s="36"/>
      <c r="J33" s="26"/>
      <c r="K33" s="36"/>
      <c r="L33" s="36"/>
      <c r="M33" s="36"/>
      <c r="N33" s="36"/>
      <c r="Q33" s="54"/>
      <c r="R33" s="55" t="s">
        <v>97</v>
      </c>
      <c r="S33" s="56">
        <v>783.99</v>
      </c>
      <c r="T33" s="57">
        <v>739.99</v>
      </c>
      <c r="U33" s="57">
        <v>493.88</v>
      </c>
      <c r="V33" s="57"/>
      <c r="W33" s="57">
        <v>659.25</v>
      </c>
      <c r="X33" s="57">
        <v>587.33</v>
      </c>
      <c r="Y33" s="95">
        <v>392</v>
      </c>
    </row>
    <row r="34" spans="4:25">
      <c r="D34" s="13"/>
      <c r="E34" s="13"/>
      <c r="F34" s="13"/>
      <c r="G34" s="1" t="s">
        <v>98</v>
      </c>
      <c r="H34" s="14">
        <f>SUM(H32:H33)</f>
        <v>65536</v>
      </c>
      <c r="I34" s="37">
        <f>J13</f>
        <v>1.08506944444444e-6</v>
      </c>
      <c r="J34" s="38">
        <f>MMULT(H34,I34)</f>
        <v>0.0711111111111108</v>
      </c>
      <c r="K34" s="39" t="s">
        <v>86</v>
      </c>
      <c r="L34" s="40"/>
      <c r="N34" t="s">
        <v>99</v>
      </c>
      <c r="Q34" s="58"/>
      <c r="R34" s="59"/>
      <c r="S34" s="60" t="s">
        <v>100</v>
      </c>
      <c r="T34" s="61" t="s">
        <v>101</v>
      </c>
      <c r="U34" s="61" t="s">
        <v>102</v>
      </c>
      <c r="V34" s="61"/>
      <c r="W34" s="61" t="s">
        <v>103</v>
      </c>
      <c r="X34" s="61" t="s">
        <v>104</v>
      </c>
      <c r="Y34" s="96" t="s">
        <v>105</v>
      </c>
    </row>
    <row r="35" spans="4:25">
      <c r="D35" s="9"/>
      <c r="E35" s="9"/>
      <c r="F35" s="9"/>
      <c r="G35" s="1" t="s">
        <v>98</v>
      </c>
      <c r="H35" s="8">
        <f>H34</f>
        <v>65536</v>
      </c>
      <c r="I35" s="41">
        <f>J14</f>
        <v>1.085</v>
      </c>
      <c r="J35" s="42">
        <f>MMULT(H35,I35)</f>
        <v>71106.56</v>
      </c>
      <c r="K35" s="25" t="s">
        <v>88</v>
      </c>
      <c r="L35" t="s">
        <v>106</v>
      </c>
      <c r="M35" s="1"/>
      <c r="N35" t="s">
        <v>99</v>
      </c>
      <c r="Q35" s="58" t="s">
        <v>107</v>
      </c>
      <c r="R35" s="62">
        <v>1</v>
      </c>
      <c r="S35" s="63">
        <v>1</v>
      </c>
      <c r="T35" s="64">
        <v>1</v>
      </c>
      <c r="U35" s="64">
        <v>1</v>
      </c>
      <c r="V35" s="64"/>
      <c r="W35" s="64">
        <v>1</v>
      </c>
      <c r="X35" s="64">
        <v>1</v>
      </c>
      <c r="Y35" s="97">
        <v>1</v>
      </c>
    </row>
    <row r="36" spans="4:25">
      <c r="D36" s="9"/>
      <c r="E36" s="9"/>
      <c r="F36" s="9"/>
      <c r="G36" s="9"/>
      <c r="H36" s="8"/>
      <c r="J36" s="1">
        <f>MMULT(J35,1/1000)</f>
        <v>71.10656</v>
      </c>
      <c r="K36" t="s">
        <v>108</v>
      </c>
      <c r="L36" t="s">
        <v>109</v>
      </c>
      <c r="M36" s="1"/>
      <c r="N36" t="s">
        <v>99</v>
      </c>
      <c r="Q36" s="58" t="s">
        <v>110</v>
      </c>
      <c r="R36" s="59">
        <f>MMULT(60,1/70)</f>
        <v>0.857142857142857</v>
      </c>
      <c r="S36" s="65">
        <f>MMULT(S35,R36)</f>
        <v>0.857142857142857</v>
      </c>
      <c r="T36" s="66"/>
      <c r="U36" s="66"/>
      <c r="V36" s="66"/>
      <c r="W36" s="66"/>
      <c r="X36" s="66"/>
      <c r="Y36" s="98"/>
    </row>
    <row r="37" spans="4:25">
      <c r="D37" s="9"/>
      <c r="E37" s="9"/>
      <c r="F37" s="9"/>
      <c r="G37" s="9"/>
      <c r="H37" s="8"/>
      <c r="M37" s="1"/>
      <c r="Q37" s="58"/>
      <c r="R37" s="59" t="s">
        <v>111</v>
      </c>
      <c r="S37" s="65">
        <f t="shared" ref="S37:U37" si="1">MMULT(S35,12)</f>
        <v>12</v>
      </c>
      <c r="T37" s="66">
        <f t="shared" si="1"/>
        <v>12</v>
      </c>
      <c r="U37" s="66">
        <f t="shared" si="1"/>
        <v>12</v>
      </c>
      <c r="V37" s="67"/>
      <c r="W37" s="66">
        <f t="shared" ref="W37:Y37" si="2">MMULT(W35,12)</f>
        <v>12</v>
      </c>
      <c r="X37" s="66">
        <f t="shared" si="2"/>
        <v>12</v>
      </c>
      <c r="Y37" s="98">
        <f t="shared" si="2"/>
        <v>12</v>
      </c>
    </row>
    <row r="38" spans="4:25">
      <c r="D38" s="9"/>
      <c r="E38" s="9"/>
      <c r="F38" s="9"/>
      <c r="G38" s="9"/>
      <c r="H38" s="8"/>
      <c r="I38" s="1" t="s">
        <v>112</v>
      </c>
      <c r="J38" s="43">
        <v>12</v>
      </c>
      <c r="M38" s="1"/>
      <c r="Q38" s="58"/>
      <c r="R38" s="59" t="s">
        <v>113</v>
      </c>
      <c r="S38" s="65">
        <v>0</v>
      </c>
      <c r="T38" s="67">
        <f>SUM(S38,2)</f>
        <v>2</v>
      </c>
      <c r="U38" s="67">
        <f>SUM(T38,2)</f>
        <v>4</v>
      </c>
      <c r="V38" s="68"/>
      <c r="W38" s="67">
        <f>SUM(U38,2)</f>
        <v>6</v>
      </c>
      <c r="X38" s="67">
        <f>SUM(W38,2)</f>
        <v>8</v>
      </c>
      <c r="Y38" s="99">
        <f>SUM(X38,2)</f>
        <v>10</v>
      </c>
    </row>
    <row r="39" ht="15.15" spans="4:25">
      <c r="D39" s="9"/>
      <c r="E39" s="9"/>
      <c r="F39" s="9"/>
      <c r="G39" s="9"/>
      <c r="H39" s="8"/>
      <c r="I39" s="1"/>
      <c r="J39" s="44">
        <f>MMULT(J35,J38)</f>
        <v>853278.72</v>
      </c>
      <c r="K39" s="25" t="s">
        <v>88</v>
      </c>
      <c r="L39" t="s">
        <v>106</v>
      </c>
      <c r="M39" s="1"/>
      <c r="N39" s="29" t="s">
        <v>114</v>
      </c>
      <c r="O39" s="29"/>
      <c r="P39" s="29"/>
      <c r="Q39" s="69"/>
      <c r="R39" s="70"/>
      <c r="S39" s="71"/>
      <c r="T39" s="72"/>
      <c r="U39" s="72"/>
      <c r="V39" s="72"/>
      <c r="W39" s="72"/>
      <c r="X39" s="72"/>
      <c r="Y39" s="100"/>
    </row>
    <row r="40" ht="15.9" spans="4:25">
      <c r="D40" s="9"/>
      <c r="E40" s="9"/>
      <c r="F40" s="9"/>
      <c r="G40" s="9"/>
      <c r="H40" s="8"/>
      <c r="J40" s="45">
        <f>MMULT(J36,J38)</f>
        <v>853.27872</v>
      </c>
      <c r="K40" t="s">
        <v>108</v>
      </c>
      <c r="L40" t="s">
        <v>109</v>
      </c>
      <c r="M40" s="1"/>
      <c r="N40" s="29" t="s">
        <v>114</v>
      </c>
      <c r="O40" s="29"/>
      <c r="P40" s="29"/>
      <c r="Q40" s="73"/>
      <c r="R40" s="74"/>
      <c r="S40" s="75">
        <v>2</v>
      </c>
      <c r="T40" s="76">
        <v>3</v>
      </c>
      <c r="U40" s="76">
        <v>4</v>
      </c>
      <c r="V40" s="77">
        <v>0</v>
      </c>
      <c r="W40" s="78">
        <v>6</v>
      </c>
      <c r="X40" s="78">
        <v>7</v>
      </c>
      <c r="Y40" s="101">
        <v>1</v>
      </c>
    </row>
    <row r="41" ht="15.15" spans="4:26">
      <c r="D41" s="9"/>
      <c r="E41" s="9"/>
      <c r="F41" s="9"/>
      <c r="G41" s="9"/>
      <c r="H41" s="8"/>
      <c r="Q41" s="54"/>
      <c r="R41" s="79" t="s">
        <v>97</v>
      </c>
      <c r="S41" s="57">
        <v>440</v>
      </c>
      <c r="T41" s="57">
        <v>493.88</v>
      </c>
      <c r="U41" s="57">
        <v>523.25</v>
      </c>
      <c r="V41" s="57"/>
      <c r="W41" s="57">
        <v>329.63</v>
      </c>
      <c r="X41" s="57">
        <v>369.9</v>
      </c>
      <c r="Y41" s="95">
        <v>392</v>
      </c>
      <c r="Z41" s="29"/>
    </row>
    <row r="42" spans="4:25">
      <c r="D42" s="9"/>
      <c r="E42" s="9"/>
      <c r="F42" s="9"/>
      <c r="G42" s="9"/>
      <c r="I42" s="1" t="s">
        <v>115</v>
      </c>
      <c r="J42" s="1">
        <f>MMULT(J39,2)</f>
        <v>1706557.44</v>
      </c>
      <c r="K42" s="25" t="s">
        <v>88</v>
      </c>
      <c r="L42" t="s">
        <v>106</v>
      </c>
      <c r="M42" s="29" t="s">
        <v>116</v>
      </c>
      <c r="N42" t="s">
        <v>117</v>
      </c>
      <c r="Q42" s="58"/>
      <c r="R42" s="80"/>
      <c r="S42" s="61" t="s">
        <v>118</v>
      </c>
      <c r="T42" s="61" t="s">
        <v>119</v>
      </c>
      <c r="U42" s="61" t="s">
        <v>120</v>
      </c>
      <c r="V42" s="61" t="s">
        <v>121</v>
      </c>
      <c r="W42" s="61" t="s">
        <v>122</v>
      </c>
      <c r="X42" s="61" t="s">
        <v>123</v>
      </c>
      <c r="Y42" s="96" t="s">
        <v>105</v>
      </c>
    </row>
    <row r="43" spans="4:25">
      <c r="D43" s="9"/>
      <c r="E43" s="9"/>
      <c r="F43" s="9"/>
      <c r="G43" s="9"/>
      <c r="I43" s="1" t="s">
        <v>115</v>
      </c>
      <c r="J43" s="1">
        <f>MMULT(J40,2)</f>
        <v>1706.55744</v>
      </c>
      <c r="K43" t="s">
        <v>108</v>
      </c>
      <c r="L43" t="s">
        <v>109</v>
      </c>
      <c r="M43" s="29" t="s">
        <v>116</v>
      </c>
      <c r="N43" t="s">
        <v>117</v>
      </c>
      <c r="Q43" s="58" t="s">
        <v>107</v>
      </c>
      <c r="R43" s="81">
        <v>1</v>
      </c>
      <c r="S43" s="64">
        <v>2.5</v>
      </c>
      <c r="T43" s="64">
        <v>0.5</v>
      </c>
      <c r="U43" s="64">
        <v>2</v>
      </c>
      <c r="V43" s="64">
        <v>1</v>
      </c>
      <c r="W43" s="64">
        <v>2</v>
      </c>
      <c r="X43" s="64">
        <v>0.5</v>
      </c>
      <c r="Y43" s="97">
        <v>0.5</v>
      </c>
    </row>
    <row r="44" spans="4:25">
      <c r="D44" s="9"/>
      <c r="E44" s="9"/>
      <c r="F44" s="9"/>
      <c r="G44" s="9"/>
      <c r="H44" s="8"/>
      <c r="I44" s="1"/>
      <c r="M44" s="29"/>
      <c r="Q44" s="58" t="s">
        <v>110</v>
      </c>
      <c r="R44" s="80">
        <f>MMULT(60,1/70)</f>
        <v>0.857142857142857</v>
      </c>
      <c r="S44" s="82"/>
      <c r="T44" s="82"/>
      <c r="U44" s="82"/>
      <c r="V44" s="82"/>
      <c r="W44" s="82"/>
      <c r="X44" s="82"/>
      <c r="Y44" s="102"/>
    </row>
    <row r="45" spans="4:25">
      <c r="D45" s="9"/>
      <c r="E45" s="9"/>
      <c r="F45" s="9"/>
      <c r="G45" s="9"/>
      <c r="H45" s="8"/>
      <c r="I45" s="1" t="s">
        <v>124</v>
      </c>
      <c r="J45" s="1">
        <f>MMULT(1,1/J42)</f>
        <v>5.85975002400154e-7</v>
      </c>
      <c r="K45" t="s">
        <v>81</v>
      </c>
      <c r="L45" t="s">
        <v>125</v>
      </c>
      <c r="M45" s="29" t="s">
        <v>83</v>
      </c>
      <c r="N45" t="s">
        <v>126</v>
      </c>
      <c r="Q45" s="58"/>
      <c r="R45" s="80" t="s">
        <v>111</v>
      </c>
      <c r="S45" s="66">
        <f t="shared" ref="S45:Y45" si="3">MMULT(S43,12)</f>
        <v>30</v>
      </c>
      <c r="T45" s="66">
        <f t="shared" si="3"/>
        <v>6</v>
      </c>
      <c r="U45" s="66">
        <f t="shared" si="3"/>
        <v>24</v>
      </c>
      <c r="V45" s="66">
        <f t="shared" si="3"/>
        <v>12</v>
      </c>
      <c r="W45" s="66">
        <f t="shared" si="3"/>
        <v>24</v>
      </c>
      <c r="X45" s="66">
        <f t="shared" si="3"/>
        <v>6</v>
      </c>
      <c r="Y45" s="98">
        <f t="shared" si="3"/>
        <v>6</v>
      </c>
    </row>
    <row r="46" spans="4:25">
      <c r="D46" s="9"/>
      <c r="E46" s="9"/>
      <c r="F46" s="9"/>
      <c r="G46" s="9"/>
      <c r="H46" s="8"/>
      <c r="I46" s="1" t="s">
        <v>124</v>
      </c>
      <c r="J46" s="1">
        <f>MMULT(1,1/J43)</f>
        <v>0.000585975002400154</v>
      </c>
      <c r="K46" t="s">
        <v>81</v>
      </c>
      <c r="L46" t="s">
        <v>127</v>
      </c>
      <c r="M46" s="29" t="s">
        <v>83</v>
      </c>
      <c r="N46" t="s">
        <v>126</v>
      </c>
      <c r="Q46" s="83"/>
      <c r="R46" s="80" t="s">
        <v>113</v>
      </c>
      <c r="S46" s="66">
        <v>12</v>
      </c>
      <c r="T46" s="67">
        <f t="shared" ref="T46:Y46" si="4">SUM(S46,2)</f>
        <v>14</v>
      </c>
      <c r="U46" s="67">
        <f t="shared" si="4"/>
        <v>16</v>
      </c>
      <c r="V46" s="67">
        <f t="shared" si="4"/>
        <v>18</v>
      </c>
      <c r="W46" s="67">
        <f t="shared" si="4"/>
        <v>20</v>
      </c>
      <c r="X46" s="67">
        <f t="shared" si="4"/>
        <v>22</v>
      </c>
      <c r="Y46" s="99">
        <f t="shared" si="4"/>
        <v>24</v>
      </c>
    </row>
    <row r="47" ht="15.15" spans="4:25">
      <c r="D47" s="9"/>
      <c r="E47" s="9"/>
      <c r="F47" s="9"/>
      <c r="G47" s="9"/>
      <c r="H47" s="8"/>
      <c r="I47" s="1"/>
      <c r="M47" s="29"/>
      <c r="Q47" s="69"/>
      <c r="R47" s="84"/>
      <c r="S47" s="72"/>
      <c r="T47" s="72"/>
      <c r="U47" s="72"/>
      <c r="V47" s="72"/>
      <c r="W47" s="72"/>
      <c r="X47" s="72"/>
      <c r="Y47" s="100"/>
    </row>
    <row r="48" ht="15.9" spans="4:25">
      <c r="D48" s="9"/>
      <c r="E48" s="9"/>
      <c r="F48" s="9"/>
      <c r="G48" s="9"/>
      <c r="H48" s="8"/>
      <c r="Q48" s="85"/>
      <c r="R48" s="86"/>
      <c r="S48" s="53">
        <v>2</v>
      </c>
      <c r="T48" s="53">
        <v>3</v>
      </c>
      <c r="U48" s="53">
        <v>4</v>
      </c>
      <c r="V48" s="53">
        <v>5</v>
      </c>
      <c r="W48" s="53">
        <v>6</v>
      </c>
      <c r="X48" s="53">
        <v>7</v>
      </c>
      <c r="Y48" s="94"/>
    </row>
    <row r="49" ht="15.15" spans="4:25">
      <c r="D49" s="9"/>
      <c r="E49" s="9"/>
      <c r="F49" s="9"/>
      <c r="G49" s="9"/>
      <c r="H49" s="8"/>
      <c r="Q49" s="54"/>
      <c r="R49" s="79" t="s">
        <v>97</v>
      </c>
      <c r="S49" s="57">
        <v>440</v>
      </c>
      <c r="T49" s="57">
        <v>493.88</v>
      </c>
      <c r="U49" s="57">
        <v>523.25</v>
      </c>
      <c r="V49" s="57">
        <v>587.33</v>
      </c>
      <c r="W49" s="57">
        <v>659.25</v>
      </c>
      <c r="X49" s="57">
        <v>739.99</v>
      </c>
      <c r="Y49" s="95"/>
    </row>
    <row r="50" spans="4:25">
      <c r="D50" s="9"/>
      <c r="E50" s="9"/>
      <c r="F50" s="9"/>
      <c r="G50" s="9"/>
      <c r="H50" s="8"/>
      <c r="Q50" s="58"/>
      <c r="R50" s="80"/>
      <c r="S50" s="61" t="s">
        <v>118</v>
      </c>
      <c r="T50" s="61" t="s">
        <v>102</v>
      </c>
      <c r="U50" s="61" t="s">
        <v>120</v>
      </c>
      <c r="V50" s="61" t="s">
        <v>104</v>
      </c>
      <c r="W50" s="61" t="s">
        <v>103</v>
      </c>
      <c r="X50" s="61" t="s">
        <v>101</v>
      </c>
      <c r="Y50" s="96"/>
    </row>
    <row r="51" ht="18" spans="3:25">
      <c r="C51" s="3" t="s">
        <v>128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35"/>
      <c r="Q51" s="58" t="s">
        <v>107</v>
      </c>
      <c r="R51" s="81">
        <v>1</v>
      </c>
      <c r="S51" s="87">
        <v>0.5</v>
      </c>
      <c r="T51" s="87">
        <v>0.5</v>
      </c>
      <c r="U51" s="87">
        <v>0.5</v>
      </c>
      <c r="V51" s="87">
        <v>0.5</v>
      </c>
      <c r="W51" s="87">
        <v>0.5</v>
      </c>
      <c r="X51" s="87">
        <v>0.5</v>
      </c>
      <c r="Y51" s="103"/>
    </row>
    <row r="52" spans="4:25">
      <c r="D52" s="9"/>
      <c r="E52" s="9"/>
      <c r="F52" s="9"/>
      <c r="G52" s="9"/>
      <c r="H52" s="15" t="s">
        <v>129</v>
      </c>
      <c r="I52" s="1"/>
      <c r="J52" s="46">
        <v>857.1429</v>
      </c>
      <c r="K52" t="s">
        <v>130</v>
      </c>
      <c r="Q52" s="58" t="s">
        <v>110</v>
      </c>
      <c r="R52" s="80">
        <f>MMULT(60,1/70)</f>
        <v>0.857142857142857</v>
      </c>
      <c r="S52" s="87"/>
      <c r="T52" s="87"/>
      <c r="U52" s="87"/>
      <c r="V52" s="87"/>
      <c r="W52" s="87"/>
      <c r="X52" s="87"/>
      <c r="Y52" s="103"/>
    </row>
    <row r="53" spans="4:25">
      <c r="D53" s="9"/>
      <c r="E53" s="9"/>
      <c r="F53" s="9"/>
      <c r="G53" s="9"/>
      <c r="H53" s="8"/>
      <c r="I53" s="15" t="s">
        <v>131</v>
      </c>
      <c r="J53" s="44">
        <f>J14</f>
        <v>1.085</v>
      </c>
      <c r="K53" s="25" t="s">
        <v>88</v>
      </c>
      <c r="L53" t="s">
        <v>89</v>
      </c>
      <c r="M53" s="34" t="s">
        <v>87</v>
      </c>
      <c r="Q53" s="83"/>
      <c r="R53" s="80" t="s">
        <v>111</v>
      </c>
      <c r="S53" s="66">
        <f t="shared" ref="S53:X53" si="5">MMULT(S51,12)</f>
        <v>6</v>
      </c>
      <c r="T53" s="66">
        <f t="shared" si="5"/>
        <v>6</v>
      </c>
      <c r="U53" s="66">
        <f t="shared" si="5"/>
        <v>6</v>
      </c>
      <c r="V53" s="66">
        <f t="shared" si="5"/>
        <v>6</v>
      </c>
      <c r="W53" s="66">
        <f t="shared" si="5"/>
        <v>6</v>
      </c>
      <c r="X53" s="66">
        <f t="shared" si="5"/>
        <v>6</v>
      </c>
      <c r="Y53" s="98"/>
    </row>
    <row r="54" spans="4:25">
      <c r="D54" s="9"/>
      <c r="E54" s="16" t="s">
        <v>132</v>
      </c>
      <c r="F54" s="16"/>
      <c r="G54" s="16"/>
      <c r="H54" s="8"/>
      <c r="I54" s="1" t="s">
        <v>98</v>
      </c>
      <c r="J54" s="47">
        <f>MMULT(J52,1/J53)</f>
        <v>789.993456221198</v>
      </c>
      <c r="L54" t="s">
        <v>133</v>
      </c>
      <c r="M54" s="29">
        <v>1000</v>
      </c>
      <c r="Q54" s="83"/>
      <c r="R54" s="80" t="s">
        <v>113</v>
      </c>
      <c r="S54" s="66">
        <v>26</v>
      </c>
      <c r="T54" s="67">
        <f t="shared" ref="T54:Y54" si="6">SUM(S54,2)</f>
        <v>28</v>
      </c>
      <c r="U54" s="67">
        <f t="shared" si="6"/>
        <v>30</v>
      </c>
      <c r="V54" s="67">
        <f t="shared" si="6"/>
        <v>32</v>
      </c>
      <c r="W54" s="67">
        <f t="shared" si="6"/>
        <v>34</v>
      </c>
      <c r="X54" s="67">
        <f t="shared" si="6"/>
        <v>36</v>
      </c>
      <c r="Y54" s="99"/>
    </row>
    <row r="55" ht="15.15" spans="4:25">
      <c r="D55" s="9"/>
      <c r="E55" s="9"/>
      <c r="F55" s="9"/>
      <c r="G55" s="9"/>
      <c r="H55" s="8"/>
      <c r="I55" s="1" t="s">
        <v>98</v>
      </c>
      <c r="J55" s="48">
        <f>MMULT(J54,M54)</f>
        <v>789993.456221198</v>
      </c>
      <c r="Q55" s="69"/>
      <c r="R55" s="84"/>
      <c r="S55" s="72"/>
      <c r="T55" s="72"/>
      <c r="U55" s="72"/>
      <c r="V55" s="72"/>
      <c r="W55" s="72"/>
      <c r="X55" s="72"/>
      <c r="Y55" s="100"/>
    </row>
    <row r="56" ht="15.9" spans="4:25">
      <c r="D56" s="9"/>
      <c r="E56" s="9"/>
      <c r="F56" s="9"/>
      <c r="G56" s="9"/>
      <c r="H56" s="8"/>
      <c r="I56" s="49" t="s">
        <v>134</v>
      </c>
      <c r="J56" s="50">
        <f>INT(J55)</f>
        <v>789993</v>
      </c>
      <c r="Q56" s="85"/>
      <c r="R56" s="86"/>
      <c r="S56" s="53" t="s">
        <v>135</v>
      </c>
      <c r="T56" s="88">
        <v>0</v>
      </c>
      <c r="U56" s="53" t="s">
        <v>95</v>
      </c>
      <c r="V56" s="53">
        <v>7</v>
      </c>
      <c r="W56" s="53">
        <v>3</v>
      </c>
      <c r="X56" s="53">
        <v>6</v>
      </c>
      <c r="Y56" s="94"/>
    </row>
    <row r="57" ht="15.15" spans="4:25">
      <c r="D57" s="9"/>
      <c r="E57" s="17" t="s">
        <v>136</v>
      </c>
      <c r="F57" s="18"/>
      <c r="G57" s="18"/>
      <c r="H57" s="18"/>
      <c r="I57" s="18"/>
      <c r="J57" s="18">
        <f>SUM(65535,-J56,1)</f>
        <v>-724457</v>
      </c>
      <c r="Q57" s="54"/>
      <c r="R57" s="79" t="s">
        <v>97</v>
      </c>
      <c r="S57" s="89">
        <v>987.77</v>
      </c>
      <c r="T57" s="57"/>
      <c r="U57" s="57">
        <v>783.99</v>
      </c>
      <c r="V57" s="57">
        <v>739.99</v>
      </c>
      <c r="W57" s="57">
        <v>493.88</v>
      </c>
      <c r="X57" s="57">
        <v>659.25</v>
      </c>
      <c r="Y57" s="95"/>
    </row>
    <row r="58" ht="15.15" spans="4:25">
      <c r="D58" s="9"/>
      <c r="E58" s="17"/>
      <c r="F58" s="18"/>
      <c r="G58" s="18"/>
      <c r="H58" s="18"/>
      <c r="I58" s="18"/>
      <c r="Q58" s="58"/>
      <c r="R58" s="80"/>
      <c r="S58" s="90" t="s">
        <v>137</v>
      </c>
      <c r="T58" s="61" t="s">
        <v>121</v>
      </c>
      <c r="U58" s="61" t="s">
        <v>100</v>
      </c>
      <c r="V58" s="61" t="s">
        <v>101</v>
      </c>
      <c r="W58" s="61" t="s">
        <v>102</v>
      </c>
      <c r="X58" s="61" t="s">
        <v>103</v>
      </c>
      <c r="Y58" s="96"/>
    </row>
    <row r="59" spans="4:25">
      <c r="D59" s="5" t="s">
        <v>91</v>
      </c>
      <c r="E59" s="5"/>
      <c r="F59" s="9" t="s">
        <v>92</v>
      </c>
      <c r="G59" s="9"/>
      <c r="H59" s="18"/>
      <c r="I59" s="18"/>
      <c r="Q59" s="58" t="s">
        <v>107</v>
      </c>
      <c r="R59" s="81">
        <v>1</v>
      </c>
      <c r="S59" s="64">
        <v>3.5</v>
      </c>
      <c r="T59" s="91">
        <v>2.5</v>
      </c>
      <c r="U59" s="64">
        <v>1</v>
      </c>
      <c r="V59" s="64">
        <v>1</v>
      </c>
      <c r="W59" s="64">
        <v>1</v>
      </c>
      <c r="X59" s="64">
        <v>1</v>
      </c>
      <c r="Y59" s="103"/>
    </row>
    <row r="60" spans="4:25">
      <c r="D60" s="9">
        <v>4096</v>
      </c>
      <c r="E60" s="17">
        <v>256</v>
      </c>
      <c r="F60" s="9">
        <v>16</v>
      </c>
      <c r="G60" s="9">
        <v>1</v>
      </c>
      <c r="H60" s="18"/>
      <c r="I60" s="18"/>
      <c r="Q60" s="58" t="s">
        <v>110</v>
      </c>
      <c r="R60" s="80">
        <f>MMULT(60,1/70)</f>
        <v>0.857142857142857</v>
      </c>
      <c r="S60" s="66"/>
      <c r="T60" s="87"/>
      <c r="U60" s="66"/>
      <c r="V60" s="66"/>
      <c r="W60" s="66"/>
      <c r="X60" s="66"/>
      <c r="Y60" s="98"/>
    </row>
    <row r="61" spans="4:25">
      <c r="D61" s="19">
        <f>MMULT(J57,1/D60)</f>
        <v>-176.869384765625</v>
      </c>
      <c r="E61" s="20">
        <f t="shared" ref="E61:G61" si="7">MMULT(D62,1/E60)</f>
        <v>2.08984375</v>
      </c>
      <c r="F61" s="9">
        <f t="shared" si="7"/>
        <v>1.4375</v>
      </c>
      <c r="G61" s="9">
        <f t="shared" si="7"/>
        <v>7</v>
      </c>
      <c r="H61" s="18"/>
      <c r="I61" s="18"/>
      <c r="Q61" s="83"/>
      <c r="R61" s="80" t="s">
        <v>111</v>
      </c>
      <c r="S61" s="66">
        <f t="shared" ref="S61:X61" si="8">MMULT(S59,12)</f>
        <v>42</v>
      </c>
      <c r="T61" s="66">
        <f t="shared" si="8"/>
        <v>30</v>
      </c>
      <c r="U61" s="66">
        <f t="shared" si="8"/>
        <v>12</v>
      </c>
      <c r="V61" s="66">
        <f t="shared" si="8"/>
        <v>12</v>
      </c>
      <c r="W61" s="66">
        <f t="shared" si="8"/>
        <v>12</v>
      </c>
      <c r="X61" s="66">
        <f t="shared" si="8"/>
        <v>12</v>
      </c>
      <c r="Y61" s="98"/>
    </row>
    <row r="62" spans="3:25">
      <c r="C62" t="s">
        <v>138</v>
      </c>
      <c r="D62" s="9">
        <f>MOD(J57,D60)</f>
        <v>535</v>
      </c>
      <c r="E62" s="9">
        <f t="shared" ref="E62:G62" si="9">MOD(D62,E60)</f>
        <v>23</v>
      </c>
      <c r="F62" s="9">
        <f t="shared" si="9"/>
        <v>7</v>
      </c>
      <c r="G62" s="9">
        <f t="shared" si="9"/>
        <v>0</v>
      </c>
      <c r="H62" s="18"/>
      <c r="I62" s="18"/>
      <c r="Q62" s="83"/>
      <c r="R62" s="80" t="s">
        <v>113</v>
      </c>
      <c r="S62" s="66">
        <v>38</v>
      </c>
      <c r="T62" s="67">
        <f t="shared" ref="T62:X62" si="10">SUM(S62,2)</f>
        <v>40</v>
      </c>
      <c r="U62" s="67">
        <f t="shared" si="10"/>
        <v>42</v>
      </c>
      <c r="V62" s="67">
        <f t="shared" si="10"/>
        <v>44</v>
      </c>
      <c r="W62" s="67">
        <f t="shared" si="10"/>
        <v>46</v>
      </c>
      <c r="X62" s="67">
        <f t="shared" si="10"/>
        <v>48</v>
      </c>
      <c r="Y62" s="98"/>
    </row>
    <row r="63" ht="15.15" spans="3:25">
      <c r="C63" t="s">
        <v>139</v>
      </c>
      <c r="D63" s="5">
        <f>QUOTIENT(J57,D60)</f>
        <v>-176</v>
      </c>
      <c r="E63" s="5">
        <f t="shared" ref="E63:G63" si="11">QUOTIENT(D62,E60)</f>
        <v>2</v>
      </c>
      <c r="F63" s="5">
        <f t="shared" si="11"/>
        <v>1</v>
      </c>
      <c r="G63" s="5">
        <f t="shared" si="11"/>
        <v>7</v>
      </c>
      <c r="H63" s="18"/>
      <c r="I63" s="18"/>
      <c r="Q63" s="69"/>
      <c r="R63" s="84"/>
      <c r="S63" s="72"/>
      <c r="T63" s="72"/>
      <c r="U63" s="72"/>
      <c r="V63" s="72"/>
      <c r="W63" s="72"/>
      <c r="X63" s="72"/>
      <c r="Y63" s="100"/>
    </row>
    <row r="64" ht="15.9" spans="4:25">
      <c r="D64" s="21" t="s">
        <v>8</v>
      </c>
      <c r="E64" s="22" t="s">
        <v>8</v>
      </c>
      <c r="F64" s="23" t="s">
        <v>5</v>
      </c>
      <c r="G64" s="23" t="s">
        <v>30</v>
      </c>
      <c r="H64" s="18"/>
      <c r="I64" s="18"/>
      <c r="Q64" s="85"/>
      <c r="R64" s="86"/>
      <c r="S64" s="53">
        <v>5</v>
      </c>
      <c r="T64" s="53">
        <v>1</v>
      </c>
      <c r="U64" s="53" t="s">
        <v>140</v>
      </c>
      <c r="V64" s="92">
        <v>3</v>
      </c>
      <c r="W64" s="93" t="s">
        <v>141</v>
      </c>
      <c r="X64" s="53"/>
      <c r="Y64" s="104">
        <v>0</v>
      </c>
    </row>
    <row r="65" ht="15.15" spans="4:25">
      <c r="D65" s="21"/>
      <c r="E65" s="22"/>
      <c r="F65" s="23"/>
      <c r="G65" s="23"/>
      <c r="H65" s="18"/>
      <c r="I65" s="18"/>
      <c r="Q65" s="54"/>
      <c r="R65" s="79" t="s">
        <v>97</v>
      </c>
      <c r="S65" s="57">
        <v>587.33</v>
      </c>
      <c r="T65" s="57">
        <v>392</v>
      </c>
      <c r="U65" s="57">
        <v>466.16</v>
      </c>
      <c r="V65" s="57">
        <v>493.88</v>
      </c>
      <c r="W65" s="89">
        <v>554.37</v>
      </c>
      <c r="X65" s="57"/>
      <c r="Y65" s="95"/>
    </row>
    <row r="66" spans="4:25">
      <c r="D66" s="21"/>
      <c r="E66" s="22"/>
      <c r="F66" s="23"/>
      <c r="G66" s="23"/>
      <c r="H66" s="18"/>
      <c r="I66" s="18"/>
      <c r="Q66" s="83"/>
      <c r="R66" s="142"/>
      <c r="S66" s="61" t="s">
        <v>104</v>
      </c>
      <c r="T66" s="61" t="s">
        <v>105</v>
      </c>
      <c r="U66" s="61" t="s">
        <v>142</v>
      </c>
      <c r="V66" s="61" t="s">
        <v>102</v>
      </c>
      <c r="W66" s="90" t="s">
        <v>143</v>
      </c>
      <c r="X66" s="143"/>
      <c r="Y66" s="96" t="s">
        <v>121</v>
      </c>
    </row>
    <row r="67" spans="4:25">
      <c r="D67" s="21"/>
      <c r="E67" s="22"/>
      <c r="F67" s="23"/>
      <c r="G67" s="23"/>
      <c r="H67" s="18"/>
      <c r="I67" s="18"/>
      <c r="Q67" s="58" t="s">
        <v>107</v>
      </c>
      <c r="R67" s="81">
        <v>1</v>
      </c>
      <c r="S67" s="144">
        <v>1</v>
      </c>
      <c r="T67" s="144">
        <v>1</v>
      </c>
      <c r="U67" s="144">
        <v>2.5</v>
      </c>
      <c r="V67" s="144">
        <v>0.5</v>
      </c>
      <c r="W67" s="144">
        <v>3</v>
      </c>
      <c r="X67" s="145"/>
      <c r="Y67" s="97">
        <v>4</v>
      </c>
    </row>
    <row r="68" spans="4:25">
      <c r="D68" s="21"/>
      <c r="E68" s="22"/>
      <c r="F68" s="23"/>
      <c r="G68" s="23"/>
      <c r="H68" s="18"/>
      <c r="I68" s="18"/>
      <c r="Q68" s="58" t="s">
        <v>110</v>
      </c>
      <c r="R68" s="80">
        <f>MMULT(60,1/70)</f>
        <v>0.857142857142857</v>
      </c>
      <c r="S68" s="144"/>
      <c r="T68" s="144"/>
      <c r="U68" s="144"/>
      <c r="V68" s="144"/>
      <c r="W68" s="144"/>
      <c r="X68" s="145"/>
      <c r="Y68" s="97"/>
    </row>
    <row r="69" ht="18" spans="3:25">
      <c r="C69" s="3" t="s">
        <v>144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35"/>
      <c r="Q69" s="58"/>
      <c r="R69" s="80" t="s">
        <v>111</v>
      </c>
      <c r="S69" s="66">
        <f t="shared" ref="S69:W69" si="12">MMULT(S67,12)</f>
        <v>12</v>
      </c>
      <c r="T69" s="66">
        <f t="shared" si="12"/>
        <v>12</v>
      </c>
      <c r="U69" s="66">
        <f t="shared" si="12"/>
        <v>30</v>
      </c>
      <c r="V69" s="66">
        <f t="shared" si="12"/>
        <v>6</v>
      </c>
      <c r="W69" s="66">
        <f t="shared" si="12"/>
        <v>36</v>
      </c>
      <c r="X69" s="145"/>
      <c r="Y69" s="98">
        <f>MMULT(Y67,12)</f>
        <v>48</v>
      </c>
    </row>
    <row r="70" spans="8:26">
      <c r="H70" s="8"/>
      <c r="I70" s="15" t="s">
        <v>131</v>
      </c>
      <c r="J70" s="44">
        <f>J14</f>
        <v>1.085</v>
      </c>
      <c r="K70" s="25" t="s">
        <v>88</v>
      </c>
      <c r="L70" t="s">
        <v>89</v>
      </c>
      <c r="M70" s="34" t="s">
        <v>87</v>
      </c>
      <c r="Q70" s="83"/>
      <c r="R70" s="80" t="s">
        <v>113</v>
      </c>
      <c r="S70" s="66">
        <v>50</v>
      </c>
      <c r="T70" s="67">
        <f>SUM(S70,2)</f>
        <v>52</v>
      </c>
      <c r="U70" s="67">
        <f>SUM(T70,2)</f>
        <v>54</v>
      </c>
      <c r="V70" s="67">
        <f>SUM(U70,2)</f>
        <v>56</v>
      </c>
      <c r="W70" s="67">
        <f>SUM(V70,2)</f>
        <v>58</v>
      </c>
      <c r="X70" s="68"/>
      <c r="Y70" s="99">
        <f>SUM(W70,2)</f>
        <v>60</v>
      </c>
      <c r="Z70" s="149">
        <v>62</v>
      </c>
    </row>
    <row r="71" ht="15.15" spans="4:25">
      <c r="D71" s="5" t="s">
        <v>91</v>
      </c>
      <c r="E71" s="5"/>
      <c r="F71" s="5" t="s">
        <v>92</v>
      </c>
      <c r="G71" s="5"/>
      <c r="H71"/>
      <c r="I71" s="15"/>
      <c r="J71" s="44"/>
      <c r="K71" s="25"/>
      <c r="M71" s="34"/>
      <c r="Q71" s="146"/>
      <c r="R71" s="147"/>
      <c r="S71" s="148"/>
      <c r="T71" s="148"/>
      <c r="U71" s="148"/>
      <c r="V71" s="148"/>
      <c r="W71" s="148"/>
      <c r="X71" s="148"/>
      <c r="Y71" s="150"/>
    </row>
    <row r="72" spans="3:13">
      <c r="C72" s="1" t="s">
        <v>93</v>
      </c>
      <c r="D72" s="6" t="s">
        <v>5</v>
      </c>
      <c r="E72" s="6" t="s">
        <v>5</v>
      </c>
      <c r="F72" s="6" t="s">
        <v>5</v>
      </c>
      <c r="G72" s="6" t="s">
        <v>5</v>
      </c>
      <c r="H72"/>
      <c r="I72" s="15"/>
      <c r="J72" s="44"/>
      <c r="K72" s="25"/>
      <c r="M72" s="34"/>
    </row>
    <row r="73" spans="3:13">
      <c r="C73" s="1" t="s">
        <v>94</v>
      </c>
      <c r="D73" s="7">
        <v>15</v>
      </c>
      <c r="E73" s="7">
        <v>15</v>
      </c>
      <c r="F73" s="7">
        <v>15</v>
      </c>
      <c r="G73" s="7">
        <v>15</v>
      </c>
      <c r="H73" s="8"/>
      <c r="I73" s="15"/>
      <c r="J73" s="44"/>
      <c r="K73" s="25"/>
      <c r="M73" s="34"/>
    </row>
    <row r="74" spans="4:13">
      <c r="D74" s="9">
        <v>4096</v>
      </c>
      <c r="E74" s="9">
        <v>256</v>
      </c>
      <c r="F74" s="9">
        <v>16</v>
      </c>
      <c r="G74" s="9">
        <v>1</v>
      </c>
      <c r="H74" s="8"/>
      <c r="I74" s="15"/>
      <c r="J74" s="44"/>
      <c r="K74" s="25"/>
      <c r="M74" s="34"/>
    </row>
    <row r="75" spans="4:13">
      <c r="D75" s="9">
        <f t="shared" ref="D75:G75" si="13">MMULT(D73,D74)</f>
        <v>61440</v>
      </c>
      <c r="E75" s="9">
        <f t="shared" si="13"/>
        <v>3840</v>
      </c>
      <c r="F75" s="9">
        <f t="shared" si="13"/>
        <v>240</v>
      </c>
      <c r="G75" s="9">
        <f t="shared" si="13"/>
        <v>15</v>
      </c>
      <c r="H75" s="8">
        <f>SUM(D75:G75)</f>
        <v>65535</v>
      </c>
      <c r="I75" s="15"/>
      <c r="J75" s="44"/>
      <c r="K75" s="25"/>
      <c r="M75" s="34"/>
    </row>
    <row r="76" spans="6:9">
      <c r="F76" s="18"/>
      <c r="G76" s="18"/>
      <c r="H76" s="18"/>
      <c r="I76" s="18"/>
    </row>
    <row r="77" spans="4:11">
      <c r="D77" s="9"/>
      <c r="E77" s="17" t="s">
        <v>136</v>
      </c>
      <c r="F77" s="18"/>
      <c r="G77" s="18"/>
      <c r="H77" s="18"/>
      <c r="I77" s="18"/>
      <c r="J77" s="18">
        <v>65536</v>
      </c>
      <c r="K77" t="s">
        <v>145</v>
      </c>
    </row>
    <row r="78" spans="4:13">
      <c r="D78" s="9"/>
      <c r="F78" s="105" t="s">
        <v>146</v>
      </c>
      <c r="G78" s="105"/>
      <c r="H78" s="105"/>
      <c r="I78" s="105"/>
      <c r="J78" s="1">
        <f>MMULT(J70,J77)</f>
        <v>71106.56</v>
      </c>
      <c r="K78" s="25" t="s">
        <v>88</v>
      </c>
      <c r="L78" s="121"/>
      <c r="M78" s="121"/>
    </row>
    <row r="79" spans="4:13">
      <c r="D79" s="9"/>
      <c r="E79" s="106"/>
      <c r="F79" s="105"/>
      <c r="G79" s="105"/>
      <c r="H79" s="105"/>
      <c r="I79" s="105"/>
      <c r="J79" s="122">
        <f>MMULT(J78,1/1000)</f>
        <v>71.10656</v>
      </c>
      <c r="K79" t="s">
        <v>147</v>
      </c>
      <c r="L79" s="121"/>
      <c r="M79" s="121"/>
    </row>
    <row r="80" spans="4:13">
      <c r="D80" s="9"/>
      <c r="E80" s="106"/>
      <c r="F80" s="105"/>
      <c r="G80" s="105"/>
      <c r="H80" s="105"/>
      <c r="I80" s="105"/>
      <c r="J80" s="123">
        <f>MMULT(J79,1/1000)</f>
        <v>0.07110656</v>
      </c>
      <c r="K80" t="s">
        <v>86</v>
      </c>
      <c r="L80" s="121"/>
      <c r="M80" s="121"/>
    </row>
    <row r="81" ht="15.15" spans="4:13">
      <c r="D81" s="9"/>
      <c r="E81" s="17"/>
      <c r="F81" s="18"/>
      <c r="G81" s="18"/>
      <c r="H81" s="18"/>
      <c r="I81" s="18"/>
      <c r="J81" s="123"/>
      <c r="L81" s="124"/>
      <c r="M81" s="124"/>
    </row>
    <row r="82" ht="15.15" spans="4:13">
      <c r="D82" s="9"/>
      <c r="E82" s="17"/>
      <c r="F82" s="18"/>
      <c r="G82" s="18"/>
      <c r="H82" s="18"/>
      <c r="I82" s="18"/>
      <c r="J82" s="123"/>
      <c r="L82" s="125" t="s">
        <v>148</v>
      </c>
      <c r="M82" s="126"/>
    </row>
    <row r="83" spans="4:13">
      <c r="D83" s="9"/>
      <c r="E83" s="17"/>
      <c r="F83" s="18"/>
      <c r="G83" s="18"/>
      <c r="H83" s="107"/>
      <c r="I83" s="127"/>
      <c r="J83" s="128" t="s">
        <v>149</v>
      </c>
      <c r="K83" s="129"/>
      <c r="L83" s="130"/>
      <c r="M83" s="131"/>
    </row>
    <row r="84" spans="4:13">
      <c r="D84" s="9"/>
      <c r="E84" s="17"/>
      <c r="F84" s="18"/>
      <c r="G84" s="18"/>
      <c r="H84" s="108" t="s">
        <v>150</v>
      </c>
      <c r="I84" s="68">
        <v>60</v>
      </c>
      <c r="J84" s="132">
        <v>1</v>
      </c>
      <c r="K84" s="133" t="s">
        <v>86</v>
      </c>
      <c r="L84" s="134">
        <f>MMULT(J84,1/J80)</f>
        <v>14.0634000576037</v>
      </c>
      <c r="M84" s="135"/>
    </row>
    <row r="85" ht="15.15" spans="4:13">
      <c r="D85" s="9"/>
      <c r="E85" s="17"/>
      <c r="F85" s="18"/>
      <c r="G85" s="18"/>
      <c r="H85" s="109" t="s">
        <v>151</v>
      </c>
      <c r="I85" s="136">
        <v>70</v>
      </c>
      <c r="J85" s="137">
        <f>MMULT(I84,1/I85)</f>
        <v>0.857142857142857</v>
      </c>
      <c r="K85" s="138" t="s">
        <v>86</v>
      </c>
      <c r="L85" s="139">
        <f>MMULT(J85,1/J80)</f>
        <v>12.0543429065174</v>
      </c>
      <c r="M85" s="140"/>
    </row>
    <row r="86" spans="4:9">
      <c r="D86" s="9"/>
      <c r="E86" s="17"/>
      <c r="F86" s="18"/>
      <c r="G86" s="18"/>
      <c r="H86" s="18"/>
      <c r="I86" s="18"/>
    </row>
    <row r="87" spans="4:9">
      <c r="D87" s="9"/>
      <c r="E87" s="17"/>
      <c r="F87" s="18"/>
      <c r="G87" s="18"/>
      <c r="H87" s="18"/>
      <c r="I87" s="18"/>
    </row>
    <row r="88" spans="4:9">
      <c r="D88" s="9"/>
      <c r="E88" s="17"/>
      <c r="F88" s="18"/>
      <c r="G88" s="18"/>
      <c r="H88" s="18"/>
      <c r="I88" s="18"/>
    </row>
    <row r="89" spans="4:9">
      <c r="D89" s="9"/>
      <c r="E89" s="17"/>
      <c r="F89" s="18"/>
      <c r="G89" s="18"/>
      <c r="H89" s="18"/>
      <c r="I89" s="18"/>
    </row>
    <row r="90" ht="18" spans="3:14">
      <c r="C90" s="3" t="s">
        <v>152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35"/>
    </row>
    <row r="91" spans="4:11">
      <c r="D91" s="9"/>
      <c r="E91" s="17"/>
      <c r="F91" s="18"/>
      <c r="G91" s="18"/>
      <c r="H91" s="18"/>
      <c r="I91" s="18" t="s">
        <v>153</v>
      </c>
      <c r="J91" s="43">
        <v>493.88</v>
      </c>
      <c r="K91" t="s">
        <v>81</v>
      </c>
    </row>
    <row r="92" spans="4:11">
      <c r="D92" s="9"/>
      <c r="E92" s="9"/>
      <c r="F92" s="9"/>
      <c r="G92" s="9"/>
      <c r="H92" s="8"/>
      <c r="I92" s="5" t="s">
        <v>154</v>
      </c>
      <c r="J92" s="1">
        <f>MMULT(1,1/J91)</f>
        <v>0.00202478334818174</v>
      </c>
      <c r="K92" s="39" t="s">
        <v>86</v>
      </c>
    </row>
    <row r="93" spans="4:12">
      <c r="D93" s="9"/>
      <c r="E93" s="9"/>
      <c r="F93" s="9"/>
      <c r="G93" s="9"/>
      <c r="H93" s="8"/>
      <c r="I93" s="5"/>
      <c r="J93" s="1">
        <f>MMULT(J92,1000)</f>
        <v>2.02478334818174</v>
      </c>
      <c r="K93" t="s">
        <v>108</v>
      </c>
      <c r="L93" t="s">
        <v>155</v>
      </c>
    </row>
    <row r="94" spans="5:12">
      <c r="E94" s="9"/>
      <c r="F94" s="9"/>
      <c r="G94" s="9"/>
      <c r="H94" s="8"/>
      <c r="I94" s="5"/>
      <c r="J94" s="1">
        <f>MMULT(J93,1000)</f>
        <v>2024.78334818174</v>
      </c>
      <c r="K94" s="25" t="s">
        <v>88</v>
      </c>
      <c r="L94" t="s">
        <v>89</v>
      </c>
    </row>
    <row r="95" spans="5:12">
      <c r="E95" s="9"/>
      <c r="F95" s="9"/>
      <c r="G95" s="9"/>
      <c r="H95" s="8"/>
      <c r="I95" s="1" t="s">
        <v>156</v>
      </c>
      <c r="J95" s="1">
        <f>MMULT(J94,1/2)</f>
        <v>1012.39167409087</v>
      </c>
      <c r="K95" s="25" t="s">
        <v>88</v>
      </c>
      <c r="L95" t="s">
        <v>89</v>
      </c>
    </row>
    <row r="96" spans="5:13">
      <c r="E96" s="9"/>
      <c r="F96" s="9"/>
      <c r="G96" s="9"/>
      <c r="H96" s="8"/>
      <c r="I96" s="15" t="s">
        <v>131</v>
      </c>
      <c r="J96" s="44">
        <f>J14</f>
        <v>1.085</v>
      </c>
      <c r="K96" s="25" t="s">
        <v>88</v>
      </c>
      <c r="L96" t="s">
        <v>89</v>
      </c>
      <c r="M96" s="34" t="s">
        <v>87</v>
      </c>
    </row>
    <row r="97" spans="5:11">
      <c r="E97" s="9"/>
      <c r="F97" s="9"/>
      <c r="G97" s="9"/>
      <c r="H97" s="8"/>
      <c r="I97" s="1" t="s">
        <v>157</v>
      </c>
      <c r="J97" s="48">
        <f>MMULT(J95,1/J96)</f>
        <v>933.079883954721</v>
      </c>
      <c r="K97" s="25"/>
    </row>
    <row r="98" spans="5:11">
      <c r="E98" s="9"/>
      <c r="F98" s="9"/>
      <c r="G98" s="9"/>
      <c r="H98" s="8"/>
      <c r="I98" s="1" t="s">
        <v>134</v>
      </c>
      <c r="J98" s="141">
        <f>INT(J97)</f>
        <v>933</v>
      </c>
      <c r="K98" s="25"/>
    </row>
    <row r="99" spans="4:10">
      <c r="D99" s="9"/>
      <c r="E99" s="9"/>
      <c r="F99" s="9"/>
      <c r="G99" s="9"/>
      <c r="H99" s="8"/>
      <c r="I99" s="1" t="s">
        <v>158</v>
      </c>
      <c r="J99" s="141">
        <f>SUM(65535,-J98,1)</f>
        <v>64603</v>
      </c>
    </row>
    <row r="100" spans="4:8">
      <c r="D100" s="9"/>
      <c r="E100" s="9"/>
      <c r="F100" s="9"/>
      <c r="G100" s="9"/>
      <c r="H100" s="8"/>
    </row>
    <row r="101" spans="4:8">
      <c r="D101" s="87" t="s">
        <v>91</v>
      </c>
      <c r="E101" s="87"/>
      <c r="F101" s="87" t="s">
        <v>92</v>
      </c>
      <c r="G101" s="87"/>
      <c r="H101" s="8"/>
    </row>
    <row r="102" spans="4:8">
      <c r="D102" s="110">
        <v>4096</v>
      </c>
      <c r="E102" s="111">
        <v>256</v>
      </c>
      <c r="F102" s="110">
        <v>16</v>
      </c>
      <c r="G102" s="110">
        <v>1</v>
      </c>
      <c r="H102" s="8"/>
    </row>
    <row r="103" spans="4:8">
      <c r="D103" s="112">
        <f>MMULT(J99,1/D102)</f>
        <v>15.772216796875</v>
      </c>
      <c r="E103" s="113">
        <f t="shared" ref="E103:G103" si="14">MMULT(D104,1/E102)</f>
        <v>12.35546875</v>
      </c>
      <c r="F103" s="113">
        <f t="shared" si="14"/>
        <v>5.6875</v>
      </c>
      <c r="G103" s="110">
        <f t="shared" si="14"/>
        <v>11</v>
      </c>
      <c r="H103" s="8"/>
    </row>
    <row r="104" spans="3:8">
      <c r="C104" t="s">
        <v>138</v>
      </c>
      <c r="D104" s="110">
        <f>MOD(J99,D102)</f>
        <v>3163</v>
      </c>
      <c r="E104" s="110">
        <f t="shared" ref="E104:G104" si="15">MOD(D104,E102)</f>
        <v>91</v>
      </c>
      <c r="F104" s="110">
        <f t="shared" si="15"/>
        <v>11</v>
      </c>
      <c r="G104" s="110">
        <f t="shared" si="15"/>
        <v>0</v>
      </c>
      <c r="H104" s="8"/>
    </row>
    <row r="105" spans="3:8">
      <c r="C105" t="s">
        <v>139</v>
      </c>
      <c r="D105" s="61">
        <f>QUOTIENT(J99,D102)</f>
        <v>15</v>
      </c>
      <c r="E105" s="61">
        <f t="shared" ref="E105:G105" si="16">QUOTIENT(D104,E102)</f>
        <v>12</v>
      </c>
      <c r="F105" s="61">
        <f t="shared" si="16"/>
        <v>5</v>
      </c>
      <c r="G105" s="114">
        <f t="shared" si="16"/>
        <v>11</v>
      </c>
      <c r="H105" s="8"/>
    </row>
    <row r="106" spans="4:8">
      <c r="D106" s="114" t="s">
        <v>5</v>
      </c>
      <c r="E106" s="114" t="s">
        <v>30</v>
      </c>
      <c r="F106" s="114" t="s">
        <v>30</v>
      </c>
      <c r="G106" s="114">
        <v>1</v>
      </c>
      <c r="H106" s="8"/>
    </row>
    <row r="107" spans="8:8">
      <c r="H107" s="8"/>
    </row>
    <row r="108" spans="8:8">
      <c r="H108" s="8"/>
    </row>
    <row r="109" spans="4:8">
      <c r="D109" s="9"/>
      <c r="E109" s="9"/>
      <c r="F109" s="9"/>
      <c r="G109" s="9"/>
      <c r="H109" s="8"/>
    </row>
    <row r="110" spans="4:8">
      <c r="D110" s="9"/>
      <c r="E110" s="9"/>
      <c r="F110" s="9"/>
      <c r="G110" s="9"/>
      <c r="H110" s="8"/>
    </row>
    <row r="111" spans="4:8">
      <c r="D111" s="9"/>
      <c r="E111" s="9"/>
      <c r="F111" s="9"/>
      <c r="G111" s="9"/>
      <c r="H111" s="8"/>
    </row>
    <row r="112" ht="18" spans="3:14">
      <c r="C112" s="3" t="s">
        <v>159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5"/>
    </row>
    <row r="113" spans="4:7">
      <c r="D113" s="5" t="s">
        <v>91</v>
      </c>
      <c r="E113" s="5"/>
      <c r="F113" s="5" t="s">
        <v>92</v>
      </c>
      <c r="G113" s="5"/>
    </row>
    <row r="114" spans="3:7">
      <c r="C114" s="1" t="s">
        <v>93</v>
      </c>
      <c r="D114" s="115" t="s">
        <v>5</v>
      </c>
      <c r="E114" s="115" t="s">
        <v>5</v>
      </c>
      <c r="F114" s="115" t="s">
        <v>5</v>
      </c>
      <c r="G114" s="115" t="s">
        <v>5</v>
      </c>
    </row>
    <row r="115" spans="3:8">
      <c r="C115" s="1" t="s">
        <v>94</v>
      </c>
      <c r="D115" s="116">
        <v>15</v>
      </c>
      <c r="E115" s="116">
        <v>15</v>
      </c>
      <c r="F115" s="116">
        <v>15</v>
      </c>
      <c r="G115" s="116">
        <v>15</v>
      </c>
      <c r="H115" s="8"/>
    </row>
    <row r="116" spans="4:8">
      <c r="D116" s="9"/>
      <c r="E116" s="9"/>
      <c r="F116" s="9">
        <v>16</v>
      </c>
      <c r="G116" s="9">
        <v>1</v>
      </c>
      <c r="H116" s="8"/>
    </row>
    <row r="117" spans="4:8">
      <c r="D117" s="9"/>
      <c r="E117" s="9"/>
      <c r="F117" s="9">
        <f t="shared" ref="D117:G117" si="17">MMULT(F115,F116)</f>
        <v>240</v>
      </c>
      <c r="G117" s="9">
        <f t="shared" si="17"/>
        <v>15</v>
      </c>
      <c r="H117" s="8">
        <f>SUM(D117:G117)</f>
        <v>255</v>
      </c>
    </row>
    <row r="119" spans="4:7">
      <c r="D119" s="5"/>
      <c r="E119" s="5"/>
      <c r="F119" s="5"/>
      <c r="G119" s="5"/>
    </row>
    <row r="120" spans="4:7">
      <c r="D120" s="5" t="s">
        <v>91</v>
      </c>
      <c r="E120" s="5"/>
      <c r="F120" s="5" t="s">
        <v>92</v>
      </c>
      <c r="G120" s="5"/>
    </row>
    <row r="121" spans="3:7">
      <c r="C121" s="1" t="s">
        <v>93</v>
      </c>
      <c r="D121" s="117">
        <v>0</v>
      </c>
      <c r="E121" s="118">
        <v>0</v>
      </c>
      <c r="F121" s="115">
        <f>D121</f>
        <v>0</v>
      </c>
      <c r="G121" s="115">
        <f>E121</f>
        <v>0</v>
      </c>
    </row>
    <row r="122" spans="3:8">
      <c r="C122" s="1" t="s">
        <v>94</v>
      </c>
      <c r="D122" s="119">
        <v>0</v>
      </c>
      <c r="E122" s="120">
        <v>-3</v>
      </c>
      <c r="F122" s="116">
        <v>0</v>
      </c>
      <c r="G122" s="116">
        <f>E122</f>
        <v>-3</v>
      </c>
      <c r="H122" s="8"/>
    </row>
    <row r="123" spans="4:8">
      <c r="D123" s="9">
        <v>16</v>
      </c>
      <c r="E123" s="9">
        <v>1</v>
      </c>
      <c r="F123" s="9">
        <v>16</v>
      </c>
      <c r="G123" s="9">
        <v>1</v>
      </c>
      <c r="H123" s="8"/>
    </row>
    <row r="124" spans="4:8">
      <c r="D124" s="9"/>
      <c r="E124" s="9"/>
      <c r="F124" s="9">
        <f t="shared" ref="D124:G124" si="18">MMULT(F122,F123)</f>
        <v>0</v>
      </c>
      <c r="G124" s="9">
        <f t="shared" si="18"/>
        <v>-3</v>
      </c>
      <c r="H124" s="8">
        <f>SUM(D124:G124)</f>
        <v>-3</v>
      </c>
    </row>
    <row r="125" spans="4:9">
      <c r="D125" s="9"/>
      <c r="E125" s="9"/>
      <c r="F125" s="9"/>
      <c r="G125" s="9"/>
      <c r="H125" s="8">
        <f>SUM(H117,-H124)</f>
        <v>258</v>
      </c>
      <c r="I125" s="1"/>
    </row>
    <row r="126" spans="4:14">
      <c r="D126" s="10"/>
      <c r="E126" s="10"/>
      <c r="F126" s="10"/>
      <c r="G126" s="11" t="s">
        <v>96</v>
      </c>
      <c r="H126" s="12">
        <v>1</v>
      </c>
      <c r="I126" s="36"/>
      <c r="J126" s="26"/>
      <c r="K126" s="36"/>
      <c r="L126" s="36"/>
      <c r="M126" s="36"/>
      <c r="N126" s="36"/>
    </row>
    <row r="127" spans="4:14">
      <c r="D127" s="13"/>
      <c r="E127" s="13"/>
      <c r="F127" s="13"/>
      <c r="G127" s="1" t="s">
        <v>98</v>
      </c>
      <c r="H127" s="14">
        <f>SUM(H125:H126)</f>
        <v>259</v>
      </c>
      <c r="I127" s="37">
        <f>J13</f>
        <v>1.08506944444444e-6</v>
      </c>
      <c r="J127" s="38">
        <f>MMULT(H127,I127)</f>
        <v>0.000281032986111111</v>
      </c>
      <c r="K127" s="39" t="s">
        <v>86</v>
      </c>
      <c r="L127" s="40"/>
      <c r="N127" t="s">
        <v>99</v>
      </c>
    </row>
    <row r="128" spans="4:14">
      <c r="D128" s="9"/>
      <c r="E128" s="9"/>
      <c r="F128" s="9"/>
      <c r="G128" s="1" t="s">
        <v>98</v>
      </c>
      <c r="H128" s="8">
        <f>H127</f>
        <v>259</v>
      </c>
      <c r="I128" s="41">
        <f>J14</f>
        <v>1.085</v>
      </c>
      <c r="J128" s="42">
        <f>MMULT(H128,I128)</f>
        <v>281.015</v>
      </c>
      <c r="K128" s="25" t="s">
        <v>88</v>
      </c>
      <c r="L128" t="s">
        <v>106</v>
      </c>
      <c r="M128" s="1"/>
      <c r="N128" t="s">
        <v>99</v>
      </c>
    </row>
    <row r="129" spans="4:14">
      <c r="D129" s="9"/>
      <c r="E129" s="9"/>
      <c r="F129" s="9"/>
      <c r="G129" s="9"/>
      <c r="H129" s="8"/>
      <c r="J129" s="1">
        <f>MMULT(J128,1/1000)</f>
        <v>0.281015</v>
      </c>
      <c r="K129" t="s">
        <v>108</v>
      </c>
      <c r="L129" t="s">
        <v>109</v>
      </c>
      <c r="M129" s="1"/>
      <c r="N129" t="s">
        <v>99</v>
      </c>
    </row>
    <row r="130" spans="4:13">
      <c r="D130" s="9"/>
      <c r="E130" s="9"/>
      <c r="F130" s="9"/>
      <c r="G130" s="9"/>
      <c r="H130" s="8"/>
      <c r="M130" s="1"/>
    </row>
    <row r="131" spans="4:13">
      <c r="D131" s="9"/>
      <c r="E131" s="9"/>
      <c r="F131" s="9"/>
      <c r="G131" s="9"/>
      <c r="H131" s="8"/>
      <c r="I131" s="1" t="s">
        <v>160</v>
      </c>
      <c r="J131" s="1">
        <v>250</v>
      </c>
      <c r="M131" s="1"/>
    </row>
    <row r="132" spans="4:18">
      <c r="D132" s="9"/>
      <c r="E132" s="9"/>
      <c r="F132" s="9"/>
      <c r="G132" s="9"/>
      <c r="H132" s="8"/>
      <c r="I132" s="1"/>
      <c r="J132" s="44">
        <f>MMULT(J128,J131)</f>
        <v>70253.75</v>
      </c>
      <c r="K132" s="25" t="s">
        <v>88</v>
      </c>
      <c r="L132" t="s">
        <v>106</v>
      </c>
      <c r="M132" s="1"/>
      <c r="N132" s="29" t="s">
        <v>114</v>
      </c>
      <c r="O132" s="29"/>
      <c r="P132" s="29"/>
      <c r="Q132" s="34"/>
      <c r="R132" s="29"/>
    </row>
    <row r="133" spans="4:18">
      <c r="D133" s="9"/>
      <c r="E133" s="9"/>
      <c r="F133" s="9"/>
      <c r="G133" s="9"/>
      <c r="H133" s="8"/>
      <c r="J133" s="45">
        <f>MMULT(J129,J131)</f>
        <v>70.25375</v>
      </c>
      <c r="K133" t="s">
        <v>108</v>
      </c>
      <c r="L133" t="s">
        <v>109</v>
      </c>
      <c r="M133" s="1"/>
      <c r="N133" s="29" t="s">
        <v>114</v>
      </c>
      <c r="O133" s="29"/>
      <c r="P133" s="29"/>
      <c r="Q133" s="34"/>
      <c r="R133" s="29"/>
    </row>
    <row r="134" spans="4:8">
      <c r="D134" s="9"/>
      <c r="E134" s="9"/>
      <c r="F134" s="9"/>
      <c r="G134" s="9"/>
      <c r="H134" s="8"/>
    </row>
    <row r="135" spans="4:14">
      <c r="D135" s="9"/>
      <c r="E135" s="9"/>
      <c r="F135" s="9"/>
      <c r="G135" s="9"/>
      <c r="I135" s="1" t="s">
        <v>115</v>
      </c>
      <c r="J135" s="1">
        <f>MMULT(J132,2)</f>
        <v>140507.5</v>
      </c>
      <c r="K135" s="25" t="s">
        <v>88</v>
      </c>
      <c r="L135" t="s">
        <v>106</v>
      </c>
      <c r="M135" s="29" t="s">
        <v>116</v>
      </c>
      <c r="N135" t="s">
        <v>117</v>
      </c>
    </row>
    <row r="136" spans="4:14">
      <c r="D136" s="9"/>
      <c r="E136" s="9"/>
      <c r="F136" s="9"/>
      <c r="G136" s="9"/>
      <c r="I136" s="1" t="s">
        <v>115</v>
      </c>
      <c r="J136" s="1">
        <f>MMULT(J133,2)</f>
        <v>140.5075</v>
      </c>
      <c r="K136" t="s">
        <v>108</v>
      </c>
      <c r="L136" t="s">
        <v>109</v>
      </c>
      <c r="M136" s="29" t="s">
        <v>116</v>
      </c>
      <c r="N136" t="s">
        <v>117</v>
      </c>
    </row>
    <row r="137" spans="4:13">
      <c r="D137" s="9"/>
      <c r="E137" s="9"/>
      <c r="F137" s="9"/>
      <c r="G137" s="9"/>
      <c r="H137" s="8"/>
      <c r="I137" s="1"/>
      <c r="M137" s="29"/>
    </row>
    <row r="138" spans="4:14">
      <c r="D138" s="9"/>
      <c r="E138" s="9"/>
      <c r="F138" s="9"/>
      <c r="G138" s="9"/>
      <c r="H138" s="8"/>
      <c r="I138" s="1" t="s">
        <v>124</v>
      </c>
      <c r="J138" s="1">
        <f>MMULT(1,1/J135)</f>
        <v>7.11705780830205e-6</v>
      </c>
      <c r="K138" t="s">
        <v>81</v>
      </c>
      <c r="L138" t="s">
        <v>125</v>
      </c>
      <c r="M138" s="29" t="s">
        <v>83</v>
      </c>
      <c r="N138" t="s">
        <v>126</v>
      </c>
    </row>
    <row r="139" spans="4:14">
      <c r="D139" s="9"/>
      <c r="E139" s="9"/>
      <c r="F139" s="9"/>
      <c r="G139" s="9"/>
      <c r="H139" s="8"/>
      <c r="I139" s="1" t="s">
        <v>124</v>
      </c>
      <c r="J139" s="123">
        <f>MMULT(1,1/J136)</f>
        <v>0.00711705780830205</v>
      </c>
      <c r="K139" t="s">
        <v>81</v>
      </c>
      <c r="L139" t="s">
        <v>127</v>
      </c>
      <c r="M139" s="29" t="s">
        <v>83</v>
      </c>
      <c r="N139" t="s">
        <v>126</v>
      </c>
    </row>
    <row r="140" spans="4:8">
      <c r="D140" s="9"/>
      <c r="E140" s="9"/>
      <c r="F140" s="9"/>
      <c r="G140" s="9"/>
      <c r="H140" s="8"/>
    </row>
    <row r="141" spans="4:8">
      <c r="D141" s="9"/>
      <c r="E141" s="9"/>
      <c r="F141" s="9"/>
      <c r="G141" s="9"/>
      <c r="H141" s="8"/>
    </row>
    <row r="142" spans="4:8">
      <c r="D142" s="9"/>
      <c r="E142" s="9"/>
      <c r="F142" s="9"/>
      <c r="G142" s="9"/>
      <c r="H142" s="8"/>
    </row>
    <row r="143" spans="4:8">
      <c r="D143" s="9"/>
      <c r="E143" s="9"/>
      <c r="F143" s="9"/>
      <c r="G143" s="9"/>
      <c r="H143" s="8"/>
    </row>
    <row r="144" spans="4:8">
      <c r="D144" s="9"/>
      <c r="E144" s="9"/>
      <c r="F144" s="9"/>
      <c r="G144" s="9"/>
      <c r="H144" s="8"/>
    </row>
    <row r="145" spans="4:8">
      <c r="D145" s="9"/>
      <c r="E145" s="9"/>
      <c r="F145" s="9"/>
      <c r="G145" s="9"/>
      <c r="H145" s="8"/>
    </row>
    <row r="146" spans="4:8">
      <c r="D146" s="9"/>
      <c r="E146" s="9"/>
      <c r="F146" s="9"/>
      <c r="G146" s="9"/>
      <c r="H146" s="8"/>
    </row>
    <row r="147" spans="4:7">
      <c r="D147" s="5"/>
      <c r="E147" s="5"/>
      <c r="F147" s="5"/>
      <c r="G147" s="5"/>
    </row>
    <row r="148" spans="4:27">
      <c r="D148" s="5"/>
      <c r="E148" s="5"/>
      <c r="F148" s="5"/>
      <c r="G148" s="5"/>
      <c r="AA148">
        <v>6</v>
      </c>
    </row>
    <row r="149" spans="4:8">
      <c r="D149" s="9"/>
      <c r="E149" s="9"/>
      <c r="F149" s="9"/>
      <c r="G149" s="9"/>
      <c r="H149" s="8"/>
    </row>
    <row r="150" spans="4:8">
      <c r="D150" s="9"/>
      <c r="E150" s="9"/>
      <c r="F150" s="9"/>
      <c r="G150" s="9"/>
      <c r="H150" s="8"/>
    </row>
    <row r="151" spans="4:8">
      <c r="D151" s="9"/>
      <c r="E151" s="9"/>
      <c r="F151" s="9"/>
      <c r="G151" s="9"/>
      <c r="H151" s="8"/>
    </row>
    <row r="152" spans="4:8">
      <c r="D152" s="9"/>
      <c r="E152" s="9"/>
      <c r="F152" s="9"/>
      <c r="G152" s="9"/>
      <c r="H152" s="8"/>
    </row>
    <row r="153" spans="4:8">
      <c r="D153" s="9"/>
      <c r="E153" s="9"/>
      <c r="F153" s="9"/>
      <c r="G153" s="9"/>
      <c r="H153" s="8"/>
    </row>
    <row r="154" spans="4:8">
      <c r="D154" s="8"/>
      <c r="E154" s="8"/>
      <c r="F154" s="8"/>
      <c r="G154" s="8"/>
      <c r="H154" s="8"/>
    </row>
    <row r="155" spans="27:27">
      <c r="AA155">
        <v>7</v>
      </c>
    </row>
    <row r="156" spans="4:7">
      <c r="D156" s="5"/>
      <c r="E156" s="5"/>
      <c r="F156" s="5"/>
      <c r="G156" s="5"/>
    </row>
    <row r="157" spans="4:7">
      <c r="D157" s="5"/>
      <c r="E157" s="5"/>
      <c r="F157" s="5"/>
      <c r="G157" s="5"/>
    </row>
    <row r="158" spans="4:8">
      <c r="D158" s="9"/>
      <c r="E158" s="9"/>
      <c r="F158" s="9"/>
      <c r="G158" s="9"/>
      <c r="H158" s="8"/>
    </row>
    <row r="159" spans="4:8">
      <c r="D159" s="9"/>
      <c r="E159" s="9"/>
      <c r="F159" s="9"/>
      <c r="G159" s="9"/>
      <c r="H159" s="8"/>
    </row>
    <row r="160" spans="4:8">
      <c r="D160" s="9"/>
      <c r="E160" s="9"/>
      <c r="F160" s="9"/>
      <c r="G160" s="9"/>
      <c r="H160" s="8"/>
    </row>
    <row r="161" spans="4:8">
      <c r="D161" s="9"/>
      <c r="E161" s="9"/>
      <c r="F161" s="9"/>
      <c r="G161" s="9"/>
      <c r="H161" s="8"/>
    </row>
    <row r="162" spans="4:8">
      <c r="D162" s="9"/>
      <c r="E162" s="9"/>
      <c r="F162" s="9"/>
      <c r="G162" s="9"/>
      <c r="H162" s="8"/>
    </row>
    <row r="164" spans="27:27">
      <c r="AA164">
        <v>6</v>
      </c>
    </row>
    <row r="171" spans="27:27">
      <c r="AA171">
        <v>6</v>
      </c>
    </row>
    <row r="179" spans="27:27">
      <c r="AA179">
        <v>6</v>
      </c>
    </row>
    <row r="185" spans="27:27">
      <c r="AA185">
        <f ca="1">SUM(AA148:AA186)</f>
        <v>31</v>
      </c>
    </row>
  </sheetData>
  <mergeCells count="38">
    <mergeCell ref="L10:M10"/>
    <mergeCell ref="M13:N13"/>
    <mergeCell ref="C19:N19"/>
    <mergeCell ref="D20:E20"/>
    <mergeCell ref="F20:G20"/>
    <mergeCell ref="D27:E27"/>
    <mergeCell ref="F27:G27"/>
    <mergeCell ref="N39:P39"/>
    <mergeCell ref="N40:P40"/>
    <mergeCell ref="C51:N51"/>
    <mergeCell ref="H52:I52"/>
    <mergeCell ref="E54:G54"/>
    <mergeCell ref="E57:I57"/>
    <mergeCell ref="D59:E59"/>
    <mergeCell ref="F59:G59"/>
    <mergeCell ref="C69:N69"/>
    <mergeCell ref="D71:E71"/>
    <mergeCell ref="F71:G71"/>
    <mergeCell ref="E77:I77"/>
    <mergeCell ref="L84:M84"/>
    <mergeCell ref="L85:M85"/>
    <mergeCell ref="C90:N90"/>
    <mergeCell ref="D101:E101"/>
    <mergeCell ref="F101:G101"/>
    <mergeCell ref="C112:N112"/>
    <mergeCell ref="D113:E113"/>
    <mergeCell ref="F113:G113"/>
    <mergeCell ref="D120:E120"/>
    <mergeCell ref="F120:G120"/>
    <mergeCell ref="N132:P132"/>
    <mergeCell ref="N133:P133"/>
    <mergeCell ref="D147:E147"/>
    <mergeCell ref="F147:G147"/>
    <mergeCell ref="D156:E156"/>
    <mergeCell ref="F156:G156"/>
    <mergeCell ref="I92:I94"/>
    <mergeCell ref="L82:M83"/>
    <mergeCell ref="F78:I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Project-1</vt:lpstr>
      <vt:lpstr>Projrct-2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2023-04-07T13:32:00Z</dcterms:created>
  <dcterms:modified xsi:type="dcterms:W3CDTF">2023-05-16T09:18:21Z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C9435B1629DF4D5E9D5CF3F787969E3E</vt:lpwstr>
  </property>
  <property fmtid="{D5CDD505-2E9C-101B-9397-08002B2CF9AE}" pid="3" name="KSOProductBuildVer">
    <vt:lpwstr>1033-11.2.0.11537</vt:lpwstr>
  </property>
</Properties>
</file>